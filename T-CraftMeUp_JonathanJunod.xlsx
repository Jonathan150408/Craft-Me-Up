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40boh\Documents\GitHub\Craft-Me-Up\"/>
    </mc:Choice>
  </mc:AlternateContent>
  <xr:revisionPtr revIDLastSave="0" documentId="13_ncr:1_{A2854D41-A9B9-464C-A3BC-6DA5AA5F5E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8" l="1"/>
  <c r="D35" i="18"/>
  <c r="D29" i="18"/>
  <c r="D26" i="18"/>
  <c r="D21" i="18"/>
  <c r="D17" i="18"/>
  <c r="D11" i="18"/>
  <c r="D9" i="18"/>
  <c r="C42" i="18" l="1"/>
</calcChain>
</file>

<file path=xl/sharedStrings.xml><?xml version="1.0" encoding="utf-8"?>
<sst xmlns="http://schemas.openxmlformats.org/spreadsheetml/2006/main" count="126" uniqueCount="77">
  <si>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</si>
  <si>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</si>
  <si>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</si>
  <si>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</si>
  <si>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</si>
  <si>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</si>
  <si>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</si>
  <si>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</si>
  <si>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</si>
  <si>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</si>
  <si>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</si>
  <si>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</si>
  <si>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</si>
  <si>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</si>
  <si>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</si>
  <si>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</si>
  <si>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</si>
  <si>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</si>
  <si>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</si>
  <si>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</si>
  <si>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</si>
  <si>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</si>
  <si>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</si>
  <si>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</si>
  <si>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</si>
  <si>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</si>
  <si>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</si>
  <si>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Finished</t>
  </si>
  <si>
    <t>Finished late</t>
  </si>
  <si>
    <t>In the work</t>
  </si>
  <si>
    <t>Not started</t>
  </si>
  <si>
    <t>Setup</t>
  </si>
  <si>
    <t>setting up the work environnement</t>
  </si>
  <si>
    <t>https://github.com/Jonathan150408/Craft-Me-Up</t>
  </si>
  <si>
    <t>Olivera Kobi S.</t>
  </si>
  <si>
    <t>Mid2A / GRP2C</t>
  </si>
  <si>
    <t>Jonathan Junod</t>
  </si>
  <si>
    <t>24p</t>
  </si>
  <si>
    <t>Craft Me Up, un jeu en winforms pour les portes ouvertes</t>
  </si>
  <si>
    <t>INF / DEV / P_Prod</t>
  </si>
  <si>
    <t>Class diagram</t>
  </si>
  <si>
    <t>Creating a diagram for the code's classes</t>
  </si>
  <si>
    <t>Explanations</t>
  </si>
  <si>
    <t>Explanations of the code for me</t>
  </si>
  <si>
    <t>https://eduvaud-my.sharepoint.com/:u:/r/personal/pb62kjx_eduvaud_ch/_layouts/15/Doc.aspx?sourcedoc=%7B5BF0A89E-E3A6-4CD4-BA7E-BFDC17A68BD3%7D&amp;file=P_CraftMeUp_ClassDiagram.vsdx&amp;fromShare=true&amp;action=default&amp;mobileredirect=true</t>
  </si>
  <si>
    <t>Creating a new version of the classes diagram</t>
  </si>
  <si>
    <t>Debating about the code optimization</t>
  </si>
  <si>
    <t>Debating</t>
  </si>
  <si>
    <t>Github project</t>
  </si>
  <si>
    <t xml:space="preserve">Adding a kanban to github </t>
  </si>
  <si>
    <t>Read and complete the CdC written by Neo</t>
  </si>
  <si>
    <t>CdC</t>
  </si>
  <si>
    <t>Coding</t>
  </si>
  <si>
    <t>Correcting the obstacle class</t>
  </si>
  <si>
    <t>https://github.com/users/Jonathan150408/projects/4/views/1</t>
  </si>
  <si>
    <t>Git-problem</t>
  </si>
  <si>
    <t>Solving a problem with the github project issues</t>
  </si>
  <si>
    <t>https://github.com/users/Jonathan150408/projects/6/views/1</t>
  </si>
  <si>
    <t>Updating the classes diagram</t>
  </si>
  <si>
    <t>Correcting Shoot me up</t>
  </si>
  <si>
    <t>Optimizing Shoot me up</t>
  </si>
  <si>
    <t>https://chatgpt.com/</t>
  </si>
  <si>
    <t>Searching</t>
  </si>
  <si>
    <t>Trying to understand how the display can work without pictureboxes</t>
  </si>
  <si>
    <t>trying to understand why the number of frame per second isn't always the same</t>
  </si>
  <si>
    <t>coding</t>
  </si>
  <si>
    <t>correcting the framerate issue</t>
  </si>
  <si>
    <t>Implementing the new random wave generation</t>
  </si>
  <si>
    <t>Implementing the random wave generation system</t>
  </si>
  <si>
    <t>trying to fix the memory leak</t>
  </si>
  <si>
    <t>absent</t>
  </si>
  <si>
    <t>I was supposed to go to Sebeillon but actually not</t>
  </si>
  <si>
    <t>installation</t>
  </si>
  <si>
    <t>Installing visual studio 2026</t>
  </si>
  <si>
    <t>implementing the bosses waves for later (no bosses now)</t>
  </si>
  <si>
    <t>Implementing the pause menu</t>
  </si>
  <si>
    <t>fixing the broken wave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</si>
</sst>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11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hatgp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44"/>
  <sheetViews>
    <sheetView tabSelected="1" view="pageBreakPreview" zoomScaleNormal="100" zoomScaleSheetLayoutView="100" workbookViewId="0">
      <pane xSplit="3" ySplit="5" topLeftCell="D17" activePane="bottomRight" state="frozen"/>
      <selection pane="topRight" activeCell="D1" sqref="D1"/>
      <selection pane="bottomLeft" activeCell="A2" sqref="A2"/>
      <selection pane="bottomRight" activeCell="F34" sqref="F34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7" t="s">
        <v>36</v>
      </c>
      <c r="C1" s="29"/>
      <c r="D1" s="35" t="s">
        <v>1</v>
      </c>
      <c r="E1" s="36"/>
      <c r="F1" s="33" t="s">
        <v>37</v>
      </c>
      <c r="G1" s="34"/>
    </row>
    <row r="2" spans="1:7" ht="21" customHeight="1" thickBot="1" x14ac:dyDescent="0.3">
      <c r="A2" s="16" t="s">
        <v>2</v>
      </c>
      <c r="B2" s="27" t="s">
        <v>35</v>
      </c>
      <c r="C2" s="29"/>
      <c r="D2" s="35" t="s">
        <v>3</v>
      </c>
      <c r="E2" s="36"/>
      <c r="F2" s="33" t="s">
        <v>4</v>
      </c>
      <c r="G2" s="34"/>
    </row>
    <row r="3" spans="1:7" ht="21" customHeight="1" thickBot="1" x14ac:dyDescent="0.3">
      <c r="A3" s="16" t="s">
        <v>5</v>
      </c>
      <c r="B3" s="27" t="s">
        <v>34</v>
      </c>
      <c r="C3" s="29"/>
      <c r="D3" s="35" t="s">
        <v>6</v>
      </c>
      <c r="E3" s="36"/>
      <c r="F3" s="27" t="s">
        <v>39</v>
      </c>
      <c r="G3" s="29"/>
    </row>
    <row r="4" spans="1:7" ht="21" customHeight="1" thickBot="1" x14ac:dyDescent="0.3">
      <c r="A4" s="16" t="s">
        <v>7</v>
      </c>
      <c r="B4" s="27" t="s">
        <v>38</v>
      </c>
      <c r="C4" s="28"/>
      <c r="D4" s="28"/>
      <c r="E4" s="28"/>
      <c r="F4" s="28"/>
      <c r="G4" s="29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5">
      <c r="A6" s="4" t="s">
        <v>31</v>
      </c>
      <c r="B6" s="30">
        <v>45964</v>
      </c>
      <c r="C6" s="5">
        <v>30</v>
      </c>
      <c r="D6" s="8" t="s">
        <v>32</v>
      </c>
      <c r="E6" s="8" t="s">
        <v>27</v>
      </c>
      <c r="F6" s="24">
        <v>0.59027777777777779</v>
      </c>
      <c r="G6" s="19" t="s">
        <v>33</v>
      </c>
    </row>
    <row r="7" spans="1:7" ht="18" customHeight="1" x14ac:dyDescent="0.25">
      <c r="A7" s="21" t="s">
        <v>42</v>
      </c>
      <c r="B7" s="31"/>
      <c r="C7" s="7">
        <v>35</v>
      </c>
      <c r="D7" s="1" t="s">
        <v>43</v>
      </c>
      <c r="E7" s="8" t="s">
        <v>27</v>
      </c>
      <c r="F7" s="24">
        <v>0.61458333333333337</v>
      </c>
      <c r="G7" s="19"/>
    </row>
    <row r="8" spans="1:7" ht="18" customHeight="1" thickBot="1" x14ac:dyDescent="0.3">
      <c r="A8" s="6" t="s">
        <v>40</v>
      </c>
      <c r="B8" s="31"/>
      <c r="C8" s="7">
        <v>45</v>
      </c>
      <c r="D8" s="8" t="s">
        <v>41</v>
      </c>
      <c r="E8" s="8" t="s">
        <v>27</v>
      </c>
      <c r="F8" s="24">
        <v>0.65625</v>
      </c>
      <c r="G8" s="19" t="s">
        <v>44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5">
        <f>SUM(C6:C8)</f>
        <v>110</v>
      </c>
      <c r="E9" s="25"/>
      <c r="F9" s="25"/>
      <c r="G9" s="26"/>
    </row>
    <row r="10" spans="1:7" ht="18" customHeight="1" thickBot="1" x14ac:dyDescent="0.3">
      <c r="A10" s="4" t="s">
        <v>40</v>
      </c>
      <c r="B10" s="23">
        <v>45970</v>
      </c>
      <c r="C10" s="5">
        <v>30</v>
      </c>
      <c r="D10" s="8" t="s">
        <v>45</v>
      </c>
      <c r="E10" s="8" t="s">
        <v>27</v>
      </c>
      <c r="F10" s="24">
        <v>0.68055555555555547</v>
      </c>
      <c r="G10" s="19"/>
    </row>
    <row r="11" spans="1:7" ht="18" customHeight="1" thickBot="1" x14ac:dyDescent="0.3">
      <c r="A11" s="11" t="s">
        <v>12</v>
      </c>
      <c r="B11" s="17" t="s">
        <v>20</v>
      </c>
      <c r="C11" s="17" t="s">
        <v>18</v>
      </c>
      <c r="D11" s="25">
        <f>SUM(C10:C10)</f>
        <v>30</v>
      </c>
      <c r="E11" s="25"/>
      <c r="F11" s="25"/>
      <c r="G11" s="26"/>
    </row>
    <row r="12" spans="1:7" ht="18" customHeight="1" x14ac:dyDescent="0.25">
      <c r="A12" s="4" t="s">
        <v>47</v>
      </c>
      <c r="B12" s="30">
        <v>45971</v>
      </c>
      <c r="C12" s="5">
        <v>45</v>
      </c>
      <c r="D12" s="8" t="s">
        <v>46</v>
      </c>
      <c r="E12" s="8" t="s">
        <v>27</v>
      </c>
      <c r="F12" s="24">
        <v>0.57986111111111105</v>
      </c>
      <c r="G12" s="19"/>
    </row>
    <row r="13" spans="1:7" ht="18" customHeight="1" x14ac:dyDescent="0.25">
      <c r="A13" s="6" t="s">
        <v>48</v>
      </c>
      <c r="B13" s="31"/>
      <c r="C13" s="7">
        <v>5</v>
      </c>
      <c r="D13" s="8" t="s">
        <v>49</v>
      </c>
      <c r="E13" s="8" t="s">
        <v>27</v>
      </c>
      <c r="F13" s="24">
        <v>0.58680555555555558</v>
      </c>
      <c r="G13" s="19" t="s">
        <v>54</v>
      </c>
    </row>
    <row r="14" spans="1:7" ht="18" customHeight="1" x14ac:dyDescent="0.25">
      <c r="A14" s="6" t="s">
        <v>51</v>
      </c>
      <c r="B14" s="31"/>
      <c r="C14" s="7">
        <v>10</v>
      </c>
      <c r="D14" s="8" t="s">
        <v>50</v>
      </c>
      <c r="E14" s="8" t="s">
        <v>27</v>
      </c>
      <c r="F14" s="24">
        <v>0.59375</v>
      </c>
      <c r="G14" s="19"/>
    </row>
    <row r="15" spans="1:7" ht="18" customHeight="1" x14ac:dyDescent="0.25">
      <c r="A15" s="6" t="s">
        <v>52</v>
      </c>
      <c r="B15" s="31"/>
      <c r="C15" s="7">
        <v>50</v>
      </c>
      <c r="D15" s="8" t="s">
        <v>53</v>
      </c>
      <c r="E15" s="8" t="s">
        <v>27</v>
      </c>
      <c r="F15" s="24">
        <v>0.65625</v>
      </c>
      <c r="G15" s="19"/>
    </row>
    <row r="16" spans="1:7" ht="18" customHeight="1" thickBot="1" x14ac:dyDescent="0.3">
      <c r="A16" s="9" t="s">
        <v>55</v>
      </c>
      <c r="B16" s="32"/>
      <c r="C16" s="9">
        <v>25</v>
      </c>
      <c r="D16" s="8" t="s">
        <v>56</v>
      </c>
      <c r="E16" s="10" t="s">
        <v>27</v>
      </c>
      <c r="F16" s="24">
        <v>0.61458333333333337</v>
      </c>
      <c r="G16" s="19" t="s">
        <v>57</v>
      </c>
    </row>
    <row r="17" spans="1:7" ht="18" customHeight="1" thickBot="1" x14ac:dyDescent="0.3">
      <c r="A17" s="11" t="s">
        <v>12</v>
      </c>
      <c r="B17" s="17" t="s">
        <v>21</v>
      </c>
      <c r="C17" s="17" t="s">
        <v>18</v>
      </c>
      <c r="D17" s="25">
        <f>SUM(C12:C16)</f>
        <v>135</v>
      </c>
      <c r="E17" s="25"/>
      <c r="F17" s="25"/>
      <c r="G17" s="26"/>
    </row>
    <row r="18" spans="1:7" ht="18" customHeight="1" x14ac:dyDescent="0.25">
      <c r="A18" s="4" t="s">
        <v>40</v>
      </c>
      <c r="B18" s="30">
        <v>45978</v>
      </c>
      <c r="C18" s="5">
        <v>15</v>
      </c>
      <c r="D18" s="8" t="s">
        <v>58</v>
      </c>
      <c r="E18" s="8" t="s">
        <v>27</v>
      </c>
      <c r="F18" s="24">
        <v>0.55902777777777779</v>
      </c>
      <c r="G18" s="19"/>
    </row>
    <row r="19" spans="1:7" ht="18" customHeight="1" x14ac:dyDescent="0.25">
      <c r="A19" s="6" t="s">
        <v>52</v>
      </c>
      <c r="B19" s="31"/>
      <c r="C19" s="7">
        <v>105</v>
      </c>
      <c r="D19" s="1" t="s">
        <v>60</v>
      </c>
      <c r="E19" s="8" t="s">
        <v>27</v>
      </c>
      <c r="F19" s="24">
        <v>0.63888888888888895</v>
      </c>
      <c r="G19" s="19"/>
    </row>
    <row r="20" spans="1:7" ht="18" customHeight="1" thickBot="1" x14ac:dyDescent="0.3">
      <c r="A20" s="6" t="s">
        <v>52</v>
      </c>
      <c r="B20" s="31"/>
      <c r="C20" s="7">
        <v>25</v>
      </c>
      <c r="D20" s="8" t="s">
        <v>59</v>
      </c>
      <c r="E20" s="8" t="s">
        <v>27</v>
      </c>
      <c r="F20" s="24">
        <v>0.64236111111111105</v>
      </c>
      <c r="G20" s="19"/>
    </row>
    <row r="21" spans="1:7" ht="18" customHeight="1" thickBot="1" x14ac:dyDescent="0.3">
      <c r="A21" s="11" t="s">
        <v>12</v>
      </c>
      <c r="B21" s="17" t="s">
        <v>22</v>
      </c>
      <c r="C21" s="17" t="s">
        <v>18</v>
      </c>
      <c r="D21" s="25">
        <f>SUM(C18:C20)</f>
        <v>145</v>
      </c>
      <c r="E21" s="25"/>
      <c r="F21" s="25"/>
      <c r="G21" s="26"/>
    </row>
    <row r="22" spans="1:7" ht="18" customHeight="1" x14ac:dyDescent="0.25">
      <c r="A22" s="4" t="s">
        <v>52</v>
      </c>
      <c r="B22" s="30">
        <v>45985</v>
      </c>
      <c r="C22" s="5">
        <v>40</v>
      </c>
      <c r="D22" s="8" t="s">
        <v>64</v>
      </c>
      <c r="E22" s="8" t="s">
        <v>27</v>
      </c>
      <c r="F22" s="24">
        <v>0.54861111111111105</v>
      </c>
      <c r="G22" s="19" t="s">
        <v>61</v>
      </c>
    </row>
    <row r="23" spans="1:7" ht="18" customHeight="1" x14ac:dyDescent="0.25">
      <c r="A23" s="6" t="s">
        <v>62</v>
      </c>
      <c r="B23" s="31"/>
      <c r="C23" s="7">
        <v>80</v>
      </c>
      <c r="D23" s="8" t="s">
        <v>63</v>
      </c>
      <c r="E23" s="8" t="s">
        <v>27</v>
      </c>
      <c r="F23" s="24">
        <v>0.57638888888888895</v>
      </c>
      <c r="G23" s="19"/>
    </row>
    <row r="24" spans="1:7" ht="18" customHeight="1" x14ac:dyDescent="0.25">
      <c r="A24" s="6" t="s">
        <v>65</v>
      </c>
      <c r="B24" s="31"/>
      <c r="C24" s="7">
        <v>5</v>
      </c>
      <c r="D24" s="8" t="s">
        <v>66</v>
      </c>
      <c r="E24" s="8" t="s">
        <v>27</v>
      </c>
      <c r="F24" s="24">
        <v>0.63888888888888895</v>
      </c>
      <c r="G24" s="19"/>
    </row>
    <row r="25" spans="1:7" ht="18" customHeight="1" thickBot="1" x14ac:dyDescent="0.3">
      <c r="A25" s="6" t="s">
        <v>52</v>
      </c>
      <c r="B25" s="31"/>
      <c r="C25" s="7">
        <v>20</v>
      </c>
      <c r="D25" s="8" t="s">
        <v>67</v>
      </c>
      <c r="E25" s="8" t="s">
        <v>27</v>
      </c>
      <c r="F25" s="24">
        <v>0.65625</v>
      </c>
      <c r="G25" s="19"/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25">
        <f>SUM(C22:C25)</f>
        <v>145</v>
      </c>
      <c r="E26" s="25"/>
      <c r="F26" s="25"/>
      <c r="G26" s="26"/>
    </row>
    <row r="27" spans="1:7" ht="18" customHeight="1" x14ac:dyDescent="0.25">
      <c r="A27" s="4" t="s">
        <v>52</v>
      </c>
      <c r="B27" s="30">
        <v>45992</v>
      </c>
      <c r="C27" s="5">
        <v>35</v>
      </c>
      <c r="D27" s="8" t="s">
        <v>68</v>
      </c>
      <c r="E27" s="8" t="s">
        <v>27</v>
      </c>
      <c r="F27" s="24">
        <v>0.57291666666666663</v>
      </c>
      <c r="G27" s="19"/>
    </row>
    <row r="28" spans="1:7" ht="18" customHeight="1" thickBot="1" x14ac:dyDescent="0.3">
      <c r="A28" s="6" t="s">
        <v>52</v>
      </c>
      <c r="B28" s="31"/>
      <c r="C28" s="7">
        <v>105</v>
      </c>
      <c r="D28" s="8" t="s">
        <v>69</v>
      </c>
      <c r="E28" s="8" t="s">
        <v>27</v>
      </c>
      <c r="F28" s="24">
        <v>0.65625</v>
      </c>
      <c r="G28" s="19" t="s">
        <v>61</v>
      </c>
    </row>
    <row r="29" spans="1:7" ht="18" customHeight="1" thickBot="1" x14ac:dyDescent="0.3">
      <c r="A29" s="11" t="s">
        <v>12</v>
      </c>
      <c r="B29" s="17" t="s">
        <v>24</v>
      </c>
      <c r="C29" s="17" t="s">
        <v>18</v>
      </c>
      <c r="D29" s="25">
        <f>SUM(C27:C28)</f>
        <v>140</v>
      </c>
      <c r="E29" s="25"/>
      <c r="F29" s="25"/>
      <c r="G29" s="26"/>
    </row>
    <row r="30" spans="1:7" ht="18" customHeight="1" x14ac:dyDescent="0.25">
      <c r="A30" s="4" t="s">
        <v>70</v>
      </c>
      <c r="B30" s="30">
        <v>45999</v>
      </c>
      <c r="C30" s="5">
        <v>25</v>
      </c>
      <c r="D30" s="8" t="s">
        <v>71</v>
      </c>
      <c r="E30" s="8" t="s">
        <v>27</v>
      </c>
      <c r="F30" s="24">
        <v>0.35069444444444442</v>
      </c>
      <c r="G30" s="19"/>
    </row>
    <row r="31" spans="1:7" ht="18" customHeight="1" x14ac:dyDescent="0.25">
      <c r="A31" s="6" t="s">
        <v>72</v>
      </c>
      <c r="B31" s="31"/>
      <c r="C31" s="7">
        <v>35</v>
      </c>
      <c r="D31" s="8" t="s">
        <v>73</v>
      </c>
      <c r="E31" s="8" t="s">
        <v>27</v>
      </c>
      <c r="F31" s="24">
        <v>0.375</v>
      </c>
      <c r="G31" s="19"/>
    </row>
    <row r="32" spans="1:7" ht="18" customHeight="1" x14ac:dyDescent="0.25">
      <c r="A32" s="6" t="s">
        <v>52</v>
      </c>
      <c r="B32" s="31"/>
      <c r="C32" s="7">
        <v>25</v>
      </c>
      <c r="D32" s="8" t="s">
        <v>74</v>
      </c>
      <c r="E32" s="8" t="s">
        <v>27</v>
      </c>
      <c r="F32" s="24">
        <v>0.3923611111111111</v>
      </c>
      <c r="G32" s="19"/>
    </row>
    <row r="33" spans="1:7" ht="18" customHeight="1" x14ac:dyDescent="0.25">
      <c r="A33" s="6" t="s">
        <v>52</v>
      </c>
      <c r="B33" s="31"/>
      <c r="C33" s="7">
        <v>45</v>
      </c>
      <c r="D33" s="8" t="s">
        <v>75</v>
      </c>
      <c r="E33" s="8" t="s">
        <v>29</v>
      </c>
      <c r="F33" s="24">
        <v>0.43402777777777773</v>
      </c>
      <c r="G33" s="19"/>
    </row>
    <row r="34" spans="1:7" ht="18" customHeight="1" thickBot="1" x14ac:dyDescent="0.3">
      <c r="A34" s="9" t="s">
        <v>52</v>
      </c>
      <c r="B34" s="32"/>
      <c r="C34" s="9">
        <v>15</v>
      </c>
      <c r="D34" s="8" t="s">
        <v>76</v>
      </c>
      <c r="E34" s="10" t="s">
        <v>27</v>
      </c>
      <c r="F34" s="24">
        <v>0.44444444444444442</v>
      </c>
      <c r="G34" s="19"/>
    </row>
    <row r="35" spans="1:7" ht="18" customHeight="1" thickBot="1" x14ac:dyDescent="0.3">
      <c r="A35" s="11" t="s">
        <v>12</v>
      </c>
      <c r="B35" s="17" t="s">
        <v>25</v>
      </c>
      <c r="C35" s="17" t="s">
        <v>18</v>
      </c>
      <c r="D35" s="25">
        <f>SUM(C30:C34)</f>
        <v>145</v>
      </c>
      <c r="E35" s="25"/>
      <c r="F35" s="25"/>
      <c r="G35" s="26"/>
    </row>
    <row r="36" spans="1:7" ht="18" customHeight="1" x14ac:dyDescent="0.25">
      <c r="A36" s="4"/>
      <c r="B36" s="30"/>
      <c r="C36" s="5"/>
      <c r="D36" s="8"/>
      <c r="E36" s="8"/>
      <c r="F36" s="22"/>
      <c r="G36" s="19"/>
    </row>
    <row r="37" spans="1:7" ht="18" customHeight="1" x14ac:dyDescent="0.25">
      <c r="A37" s="6"/>
      <c r="B37" s="31"/>
      <c r="C37" s="7"/>
      <c r="D37" s="8"/>
      <c r="E37" s="8"/>
      <c r="F37" s="22"/>
      <c r="G37" s="19"/>
    </row>
    <row r="38" spans="1:7" ht="18" customHeight="1" x14ac:dyDescent="0.25">
      <c r="A38" s="6"/>
      <c r="B38" s="31"/>
      <c r="C38" s="7"/>
      <c r="D38" s="8"/>
      <c r="E38" s="8"/>
      <c r="F38" s="7"/>
      <c r="G38" s="19"/>
    </row>
    <row r="39" spans="1:7" ht="18" customHeight="1" x14ac:dyDescent="0.25">
      <c r="A39" s="6"/>
      <c r="B39" s="31"/>
      <c r="C39" s="7"/>
      <c r="D39" s="8"/>
      <c r="E39" s="8"/>
      <c r="F39" s="7"/>
      <c r="G39" s="19"/>
    </row>
    <row r="40" spans="1:7" ht="18" customHeight="1" thickBot="1" x14ac:dyDescent="0.3">
      <c r="A40" s="9"/>
      <c r="B40" s="32"/>
      <c r="C40" s="9"/>
      <c r="D40" s="8"/>
      <c r="E40" s="10"/>
      <c r="F40" s="7"/>
      <c r="G40" s="19"/>
    </row>
    <row r="41" spans="1:7" ht="18" customHeight="1" thickBot="1" x14ac:dyDescent="0.3">
      <c r="A41" s="11" t="s">
        <v>12</v>
      </c>
      <c r="B41" s="17" t="s">
        <v>26</v>
      </c>
      <c r="C41" s="17" t="s">
        <v>18</v>
      </c>
      <c r="D41" s="25">
        <f>SUM(C36:C40)</f>
        <v>0</v>
      </c>
      <c r="E41" s="25"/>
      <c r="F41" s="25"/>
      <c r="G41" s="26"/>
    </row>
    <row r="42" spans="1:7" ht="21" customHeight="1" thickBot="1" x14ac:dyDescent="0.3">
      <c r="A42" s="37" t="s">
        <v>13</v>
      </c>
      <c r="B42" s="38"/>
      <c r="C42" s="12">
        <f>MROUND(SUM(C6:C41) /60,0.2)</f>
        <v>14.200000000000001</v>
      </c>
      <c r="D42" s="13"/>
      <c r="E42" s="18"/>
      <c r="F42" s="20"/>
      <c r="G42" s="14"/>
    </row>
    <row r="43" spans="1:7" x14ac:dyDescent="0.25">
      <c r="A43" s="15" t="s">
        <v>14</v>
      </c>
    </row>
    <row r="44" spans="1:7" x14ac:dyDescent="0.25">
      <c r="A44" s="15"/>
    </row>
  </sheetData>
  <mergeCells count="26">
    <mergeCell ref="B18:B20"/>
    <mergeCell ref="B22:B25"/>
    <mergeCell ref="B27:B28"/>
    <mergeCell ref="A42:B42"/>
    <mergeCell ref="B30:B34"/>
    <mergeCell ref="B36:B40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1:G11"/>
    <mergeCell ref="D17:G17"/>
    <mergeCell ref="B4:G4"/>
    <mergeCell ref="B6:B8"/>
    <mergeCell ref="B12:B16"/>
    <mergeCell ref="D21:G21"/>
    <mergeCell ref="D26:G26"/>
    <mergeCell ref="D29:G29"/>
    <mergeCell ref="D35:G35"/>
    <mergeCell ref="D41:G41"/>
  </mergeCells>
  <dataValidations count="2">
    <dataValidation type="whole" operator="greaterThan" allowBlank="1" showInputMessage="1" showErrorMessage="1" errorTitle="Durée par tranche de 10min" error="Le nombre doit être de type entier" sqref="C36:C40 C27:C28 C30:C34 C12:C16 B6 C10 C22:C25 C6:C8 C18:C20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 B12:B16 B22:B25 B27:B28 B30:B34 B36:B40 B18:B20" xr:uid="{7694F886-C01B-440C-B6C8-5FF698F43C26}">
      <formula1>45261</formula1>
    </dataValidation>
  </dataValidations>
  <hyperlinks>
    <hyperlink ref="G28" r:id="rId1" xr:uid="{16D500E2-F10E-4EDF-9AB5-CBC9CC38D0A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A4:E6 E7 A8:E8 A10:E10 A12:E16 A18:E18 E19:E20 A22:E25 A27:E28 A30:E34 A36:E40 A42:E1048576 A1:D3 F1:F3 G4:G8 B7:C7 A9:D9 A11:D11 A17:D17 F18:G20 A19:C19 A20:D21 A26:D26 A29:D29 A35:D35 A41:D41 G42:G1048576</xm:sqref>
        </x14:conditionalFormatting>
        <x14:conditionalFormatting xmlns:xm="http://schemas.microsoft.com/office/excel/2006/main">
          <x14:cfRule type="endsWith" priority="11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13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14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 E12:E16 E18:E20 E22:E25 E27:E28 E30:E34 E36:E40 E42:E1048576</xm:sqref>
        </x14:conditionalFormatting>
        <x14:conditionalFormatting xmlns:xm="http://schemas.microsoft.com/office/excel/2006/main">
          <x14:cfRule type="containsText" priority="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</xm:sqref>
        </x14:conditionalFormatting>
        <x14:conditionalFormatting xmlns:xm="http://schemas.microsoft.com/office/excel/2006/main">
          <x14:cfRule type="containsText" priority="6" operator="containsText" id="{6407061A-B268-44CE-A52C-133739941B16}">
            <xm:f>NOT(ISERROR(SEARCH(Restrictions!$B$1,F12)))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F12:G16</xm:sqref>
        </x14:conditionalFormatting>
        <x14:conditionalFormatting xmlns:xm="http://schemas.microsoft.com/office/excel/2006/main">
          <x14:cfRule type="containsText" priority="4" operator="containsText" id="{E988FD75-2909-4816-91C7-1018002A435D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F22:G25</xm:sqref>
        </x14:conditionalFormatting>
        <x14:conditionalFormatting xmlns:xm="http://schemas.microsoft.com/office/excel/2006/main">
          <x14:cfRule type="containsText" priority="3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F27:G28</xm:sqref>
        </x14:conditionalFormatting>
        <x14:conditionalFormatting xmlns:xm="http://schemas.microsoft.com/office/excel/2006/main">
          <x14:cfRule type="containsText" priority="2" operator="containsText" id="{1555D56B-E8B5-4F0A-9D80-B2C1016EB105}">
            <xm:f>NOT(ISERROR(SEARCH(Restrictions!$B$1,F30)))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F30:G34</xm:sqref>
        </x14:conditionalFormatting>
        <x14:conditionalFormatting xmlns:xm="http://schemas.microsoft.com/office/excel/2006/main">
          <x14:cfRule type="containsText" priority="1" operator="containsText" id="{2F0F41F7-8C93-48A6-B013-C45F8E29AE34}">
            <xm:f>NOT(ISERROR(SEARCH(Restrictions!$B$1,F36)))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F36:G40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 E12:E16 E22:E25 E27:E28 E30:E34 E36:E40 E42:E1048576 E18:E20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T-CraftMeUp_JonathanJunod</dc:title>
  <dc:subject>Journal de travail</dc:subject>
  <dc:creator>Jonathan Junod</dc:creator>
  <cp:keywords/>
  <dc:description/>
  <cp:lastModifiedBy>Jonathan Junod</cp:lastModifiedBy>
  <cp:revision/>
  <dcterms:created xsi:type="dcterms:W3CDTF">1996-10-21T11:03:58Z</dcterms:created>
  <dcterms:modified xsi:type="dcterms:W3CDTF">2025-12-08T09:32:49Z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