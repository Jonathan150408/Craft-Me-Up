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01Modules\02Deuxieme_Annee\P_Prod\Trimestre_2\Craft-Me-Up\"/>
    </mc:Choice>
  </mc:AlternateContent>
  <xr:revisionPtr revIDLastSave="0" documentId="13_ncr:1_{1532A0F3-8353-49AC-9602-A5693B828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urnal" sheetId="18" r:id="rId1"/>
    <sheet name="Restrictions" sheetId="19" r:id="rId2"/>
  </sheets>
  <definedNames>
    <definedName name="_xlnm.Print_Area" localSheetId="0">Journal!$A$1:$G$43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8" l="1"/>
  <c r="D36" i="18"/>
  <c r="D30" i="18"/>
  <c r="D26" i="18"/>
  <c r="D22" i="18"/>
  <c r="D19" i="18"/>
  <c r="D15" i="18"/>
  <c r="D9" i="18"/>
  <c r="C43" i="18" l="1"/>
</calcChain>
</file>

<file path=xl/sharedStrings.xml><?xml version="1.0" encoding="utf-8"?>
<sst xmlns="http://schemas.openxmlformats.org/spreadsheetml/2006/main" count="128" uniqueCount="78">
  <si>
    <t>Apprenti.e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</si>
  <si>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</si>
  <si>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</si>
  <si>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</si>
  <si>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</si>
  <si>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</si>
  <si>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</si>
  <si>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</si>
  <si>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</si>
  <si>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</si>
  <si>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</si>
  <si>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</si>
  <si>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</si>
  <si>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</si>
  <si>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</si>
  <si>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Explications</t>
  </si>
  <si>
    <t>Etats</t>
  </si>
  <si>
    <t>Date de fin</t>
  </si>
  <si>
    <t>Durée totale: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</si>
  <si>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</si>
  <si>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</si>
  <si>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</si>
  <si>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</si>
  <si>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</si>
  <si>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</si>
  <si>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</si>
  <si>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</si>
  <si>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Néo Darbellay</t>
  </si>
  <si>
    <t>CID2A/GRP2C</t>
  </si>
  <si>
    <t>56p</t>
  </si>
  <si>
    <t>Craft Me Up</t>
  </si>
  <si>
    <t>S. Oliveira</t>
  </si>
  <si>
    <t>Setting up the work environment</t>
  </si>
  <si>
    <t>Setup</t>
  </si>
  <si>
    <t>Finished</t>
  </si>
  <si>
    <t>In the work</t>
  </si>
  <si>
    <t>Not started</t>
  </si>
  <si>
    <t>https://github.com/Jonathan150408/Craft-Me-Up</t>
  </si>
  <si>
    <t>INF / DEV / P_Prod</t>
  </si>
  <si>
    <t>Class diagram</t>
  </si>
  <si>
    <t>Creating a diagram for every class</t>
  </si>
  <si>
    <t>Explanation of the code</t>
  </si>
  <si>
    <t>Explanations</t>
  </si>
  <si>
    <t>Not everything is done, will be finished next session</t>
  </si>
  <si>
    <t>Finishing the class diagrams</t>
  </si>
  <si>
    <t>Not finished</t>
  </si>
  <si>
    <t>Writing</t>
  </si>
  <si>
    <t>Backlog</t>
  </si>
  <si>
    <t>This may get changed later, as this was done without Jonathan's approval, as he wasn't there</t>
  </si>
  <si>
    <t>This was done in a .txt file originally, as the GitHub Project wasn't set up yet and I cannot create it</t>
  </si>
  <si>
    <t>Designing</t>
  </si>
  <si>
    <t>Writing 4 new issues</t>
  </si>
  <si>
    <t>Designing 4 images for the new issues</t>
  </si>
  <si>
    <t>Coding</t>
  </si>
  <si>
    <t>Started working on the code optimization</t>
  </si>
  <si>
    <t>Debating on code optimization</t>
  </si>
  <si>
    <t>Debating</t>
  </si>
  <si>
    <t>Writing the product specifications</t>
  </si>
  <si>
    <t>This was used for the new class diagrams</t>
  </si>
  <si>
    <t>Writing the fifth issue &amp; adding the previous ones to GitHub Project</t>
  </si>
  <si>
    <t>This took a while, as GitHub decided to disable issues in the project.</t>
  </si>
  <si>
    <t>Continuing code optimization</t>
  </si>
  <si>
    <t>Other</t>
  </si>
  <si>
    <t>All progress here has been reset as the PC's power source got turned off by a classmate.</t>
  </si>
  <si>
    <t>Working on a presentation for another class</t>
  </si>
  <si>
    <t>I'm not adding the duration, as this wasn't part of the project. However, it did take up some of the allocated project time. I'll take time off during a weekend to compensate for it.</t>
  </si>
  <si>
    <t>Character.cs, Projectile.cs, Obstacle.cs</t>
  </si>
  <si>
    <t>Enemy.cs, along with fixes for Character, Projectile and Obstacle.</t>
  </si>
  <si>
    <t>Analyzing the code to see if I missed anything that could be optimized</t>
  </si>
  <si>
    <t>Implementing Jonathan's optimisation</t>
  </si>
  <si>
    <t>Still needs some fixing</t>
  </si>
  <si>
    <t>Fixing rendering issues with the new system</t>
  </si>
  <si>
    <t>Fixing projectiles with the new system</t>
  </si>
  <si>
    <t>Since the optimization was so big, a lot of things broke and had to be changed
There are still some issues, but I'll need Jonathan to help out</t>
  </si>
  <si>
    <t>They shoot again, but have some issues that will need more fixing</t>
  </si>
  <si>
    <t>Re-adding health bar visuals (obstacle, characters)</t>
  </si>
  <si>
    <t>Fixing an issue with zombies teleporting to 0 0</t>
  </si>
  <si>
    <t>Testing the old app to see if it was easier to fix than the current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</si>
</sst>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1" fillId="0" borderId="2" xfId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2" fontId="3" fillId="0" borderId="2" xfId="0" applyNumberFormat="1" applyFont="1" applyBorder="1" applyAlignment="1" applyProtection="1">
      <alignment horizontal="center" vertical="center" wrapText="1"/>
      <protection locked="0"/>
    </xf>
    <xf numFmtId="20" fontId="3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/>
    <xf numFmtId="20" fontId="3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10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 customBuiltin="1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Jonathan150408/Craft-Me-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G45"/>
  <sheetViews>
    <sheetView tabSelected="1" view="pageBreakPreview" zoomScaleNormal="100" zoomScaleSheetLayoutView="100" workbookViewId="0">
      <pane xSplit="3" ySplit="5" topLeftCell="D20" activePane="bottomRight" state="frozen"/>
      <selection pane="topRight" activeCell="D1" sqref="D1"/>
      <selection pane="bottomLeft" activeCell="A2" sqref="A2"/>
      <selection pane="bottomRight" activeCell="F32" sqref="F32"/>
    </sheetView>
  </sheetViews>
  <sheetFormatPr baseColWidth="10" defaultColWidth="11.42578125" defaultRowHeight="13.5" x14ac:dyDescent="0.25"/>
  <cols>
    <col min="1" max="1" width="26.7109375" style="1" customWidth="1"/>
    <col min="2" max="3" width="14.7109375" style="1" customWidth="1"/>
    <col min="4" max="4" width="43.7109375" style="1" customWidth="1"/>
    <col min="5" max="5" width="26.28515625" style="1" customWidth="1"/>
    <col min="6" max="6" width="26.28515625" style="21" customWidth="1"/>
    <col min="7" max="7" width="50.7109375" style="1" customWidth="1"/>
    <col min="8" max="8" width="19.5703125" style="1" customWidth="1"/>
    <col min="9" max="9" width="36" style="1" customWidth="1"/>
    <col min="10" max="16384" width="11.42578125" style="1"/>
  </cols>
  <sheetData>
    <row r="1" spans="1:7" ht="21" customHeight="1" thickBot="1" x14ac:dyDescent="0.3">
      <c r="A1" s="16" t="s">
        <v>0</v>
      </c>
      <c r="B1" s="28" t="s">
        <v>27</v>
      </c>
      <c r="C1" s="30"/>
      <c r="D1" s="36" t="s">
        <v>1</v>
      </c>
      <c r="E1" s="37"/>
      <c r="F1" s="34" t="s">
        <v>29</v>
      </c>
      <c r="G1" s="35"/>
    </row>
    <row r="2" spans="1:7" ht="21" customHeight="1" thickBot="1" x14ac:dyDescent="0.3">
      <c r="A2" s="16" t="s">
        <v>2</v>
      </c>
      <c r="B2" s="28" t="s">
        <v>28</v>
      </c>
      <c r="C2" s="30"/>
      <c r="D2" s="36" t="s">
        <v>3</v>
      </c>
      <c r="E2" s="37"/>
      <c r="F2" s="34" t="s">
        <v>4</v>
      </c>
      <c r="G2" s="35"/>
    </row>
    <row r="3" spans="1:7" ht="21" customHeight="1" thickBot="1" x14ac:dyDescent="0.3">
      <c r="A3" s="16" t="s">
        <v>5</v>
      </c>
      <c r="B3" s="28" t="s">
        <v>31</v>
      </c>
      <c r="C3" s="30"/>
      <c r="D3" s="36" t="s">
        <v>6</v>
      </c>
      <c r="E3" s="37"/>
      <c r="F3" s="28" t="s">
        <v>38</v>
      </c>
      <c r="G3" s="30"/>
    </row>
    <row r="4" spans="1:7" ht="21" customHeight="1" thickBot="1" x14ac:dyDescent="0.3">
      <c r="A4" s="16" t="s">
        <v>7</v>
      </c>
      <c r="B4" s="28" t="s">
        <v>30</v>
      </c>
      <c r="C4" s="29"/>
      <c r="D4" s="29"/>
      <c r="E4" s="29"/>
      <c r="F4" s="29"/>
      <c r="G4" s="30"/>
    </row>
    <row r="5" spans="1:7" ht="21" customHeight="1" thickBot="1" x14ac:dyDescent="0.3">
      <c r="A5" s="2" t="s">
        <v>8</v>
      </c>
      <c r="B5" s="3" t="s">
        <v>9</v>
      </c>
      <c r="C5" s="3" t="s">
        <v>10</v>
      </c>
      <c r="D5" s="2" t="s">
        <v>15</v>
      </c>
      <c r="E5" s="2" t="s">
        <v>16</v>
      </c>
      <c r="F5" s="2" t="s">
        <v>17</v>
      </c>
      <c r="G5" s="2" t="s">
        <v>11</v>
      </c>
    </row>
    <row r="6" spans="1:7" ht="18" customHeight="1" x14ac:dyDescent="0.2">
      <c r="A6" s="4" t="s">
        <v>33</v>
      </c>
      <c r="B6" s="31">
        <v>45964</v>
      </c>
      <c r="C6" s="5">
        <v>30</v>
      </c>
      <c r="D6" s="8" t="s">
        <v>32</v>
      </c>
      <c r="E6" s="8" t="s">
        <v>34</v>
      </c>
      <c r="F6" s="23">
        <v>0.59027777777777779</v>
      </c>
      <c r="G6" s="24" t="s">
        <v>37</v>
      </c>
    </row>
    <row r="7" spans="1:7" ht="18" customHeight="1" x14ac:dyDescent="0.25">
      <c r="A7" s="6" t="s">
        <v>42</v>
      </c>
      <c r="B7" s="32"/>
      <c r="C7" s="7">
        <v>35</v>
      </c>
      <c r="D7" s="8" t="s">
        <v>41</v>
      </c>
      <c r="E7" s="8" t="s">
        <v>34</v>
      </c>
      <c r="F7" s="23">
        <v>0.61458333333333337</v>
      </c>
      <c r="G7" s="19"/>
    </row>
    <row r="8" spans="1:7" ht="18" customHeight="1" thickBot="1" x14ac:dyDescent="0.3">
      <c r="A8" s="6" t="s">
        <v>39</v>
      </c>
      <c r="B8" s="32"/>
      <c r="C8" s="7">
        <v>60</v>
      </c>
      <c r="D8" s="8" t="s">
        <v>40</v>
      </c>
      <c r="E8" s="8" t="s">
        <v>45</v>
      </c>
      <c r="F8" s="23">
        <v>0.65625</v>
      </c>
      <c r="G8" s="8" t="s">
        <v>43</v>
      </c>
    </row>
    <row r="9" spans="1:7" ht="18" customHeight="1" thickBot="1" x14ac:dyDescent="0.3">
      <c r="A9" s="11" t="s">
        <v>12</v>
      </c>
      <c r="B9" s="17" t="s">
        <v>19</v>
      </c>
      <c r="C9" s="17" t="s">
        <v>18</v>
      </c>
      <c r="D9" s="26">
        <f>SUM(C6:C8)</f>
        <v>125</v>
      </c>
      <c r="E9" s="26"/>
      <c r="F9" s="26"/>
      <c r="G9" s="27"/>
    </row>
    <row r="10" spans="1:7" ht="18" customHeight="1" x14ac:dyDescent="0.25">
      <c r="A10" s="4" t="s">
        <v>39</v>
      </c>
      <c r="B10" s="31">
        <v>45965</v>
      </c>
      <c r="C10" s="5">
        <v>30</v>
      </c>
      <c r="D10" s="8" t="s">
        <v>44</v>
      </c>
      <c r="E10" s="8" t="s">
        <v>34</v>
      </c>
      <c r="F10" s="23">
        <v>0.36458333333333331</v>
      </c>
      <c r="G10" s="19"/>
    </row>
    <row r="11" spans="1:7" ht="30" customHeight="1" x14ac:dyDescent="0.25">
      <c r="A11" s="6" t="s">
        <v>46</v>
      </c>
      <c r="B11" s="32"/>
      <c r="C11" s="7">
        <v>50</v>
      </c>
      <c r="D11" s="8" t="s">
        <v>57</v>
      </c>
      <c r="E11" s="8" t="s">
        <v>34</v>
      </c>
      <c r="F11" s="23">
        <v>0.39930555555555558</v>
      </c>
      <c r="G11" s="8" t="s">
        <v>48</v>
      </c>
    </row>
    <row r="12" spans="1:7" ht="30" customHeight="1" x14ac:dyDescent="0.25">
      <c r="A12" s="6" t="s">
        <v>47</v>
      </c>
      <c r="B12" s="32"/>
      <c r="C12" s="7">
        <v>25</v>
      </c>
      <c r="D12" s="8" t="s">
        <v>51</v>
      </c>
      <c r="E12" s="8" t="s">
        <v>34</v>
      </c>
      <c r="F12" s="23">
        <v>0.42708333333333331</v>
      </c>
      <c r="G12" s="8" t="s">
        <v>49</v>
      </c>
    </row>
    <row r="13" spans="1:7" ht="18" customHeight="1" x14ac:dyDescent="0.25">
      <c r="A13" s="6" t="s">
        <v>50</v>
      </c>
      <c r="B13" s="32"/>
      <c r="C13" s="7">
        <v>35</v>
      </c>
      <c r="D13" s="8" t="s">
        <v>52</v>
      </c>
      <c r="E13" s="8" t="s">
        <v>34</v>
      </c>
      <c r="F13" s="23">
        <v>0.4513888888888889</v>
      </c>
      <c r="G13" s="19"/>
    </row>
    <row r="14" spans="1:7" ht="18" customHeight="1" thickBot="1" x14ac:dyDescent="0.3">
      <c r="A14" s="9" t="s">
        <v>53</v>
      </c>
      <c r="B14" s="33"/>
      <c r="C14" s="9">
        <v>35</v>
      </c>
      <c r="D14" s="8" t="s">
        <v>54</v>
      </c>
      <c r="E14" s="10" t="s">
        <v>45</v>
      </c>
      <c r="F14" s="23">
        <v>0.47569444444444442</v>
      </c>
      <c r="G14" s="8" t="s">
        <v>43</v>
      </c>
    </row>
    <row r="15" spans="1:7" ht="18" customHeight="1" thickBot="1" x14ac:dyDescent="0.3">
      <c r="A15" s="11" t="s">
        <v>12</v>
      </c>
      <c r="B15" s="17" t="s">
        <v>20</v>
      </c>
      <c r="C15" s="17" t="s">
        <v>18</v>
      </c>
      <c r="D15" s="26">
        <f>SUM(C10:C14)</f>
        <v>175</v>
      </c>
      <c r="E15" s="26"/>
      <c r="F15" s="26"/>
      <c r="G15" s="27"/>
    </row>
    <row r="16" spans="1:7" ht="18" customHeight="1" x14ac:dyDescent="0.25">
      <c r="A16" s="4" t="s">
        <v>56</v>
      </c>
      <c r="B16" s="31">
        <v>45971</v>
      </c>
      <c r="C16" s="5">
        <v>45</v>
      </c>
      <c r="D16" s="8" t="s">
        <v>55</v>
      </c>
      <c r="E16" s="8" t="s">
        <v>34</v>
      </c>
      <c r="F16" s="23">
        <v>0.57986111111111105</v>
      </c>
      <c r="G16" s="8" t="s">
        <v>58</v>
      </c>
    </row>
    <row r="17" spans="1:7" ht="30" customHeight="1" x14ac:dyDescent="0.25">
      <c r="A17" s="6" t="s">
        <v>47</v>
      </c>
      <c r="B17" s="32"/>
      <c r="C17" s="7">
        <v>55</v>
      </c>
      <c r="D17" s="8" t="s">
        <v>59</v>
      </c>
      <c r="E17" s="8" t="s">
        <v>34</v>
      </c>
      <c r="F17" s="25">
        <v>0.63194444444444442</v>
      </c>
      <c r="G17" s="8" t="s">
        <v>60</v>
      </c>
    </row>
    <row r="18" spans="1:7" ht="30" customHeight="1" thickBot="1" x14ac:dyDescent="0.3">
      <c r="A18" s="6" t="s">
        <v>53</v>
      </c>
      <c r="B18" s="32"/>
      <c r="C18" s="7">
        <v>45</v>
      </c>
      <c r="D18" s="8" t="s">
        <v>61</v>
      </c>
      <c r="E18" s="8" t="s">
        <v>34</v>
      </c>
      <c r="F18" s="23">
        <v>0.66319444444444442</v>
      </c>
      <c r="G18" s="8" t="s">
        <v>63</v>
      </c>
    </row>
    <row r="19" spans="1:7" ht="18" customHeight="1" thickBot="1" x14ac:dyDescent="0.3">
      <c r="A19" s="11" t="s">
        <v>12</v>
      </c>
      <c r="B19" s="17" t="s">
        <v>21</v>
      </c>
      <c r="C19" s="17" t="s">
        <v>18</v>
      </c>
      <c r="D19" s="26">
        <f>SUM(C16:C18)</f>
        <v>145</v>
      </c>
      <c r="E19" s="26"/>
      <c r="F19" s="26"/>
      <c r="G19" s="27"/>
    </row>
    <row r="20" spans="1:7" ht="58.5" customHeight="1" x14ac:dyDescent="0.25">
      <c r="A20" s="4" t="s">
        <v>62</v>
      </c>
      <c r="B20" s="31">
        <v>45972</v>
      </c>
      <c r="C20" s="5"/>
      <c r="D20" s="8" t="s">
        <v>64</v>
      </c>
      <c r="E20" s="8" t="s">
        <v>34</v>
      </c>
      <c r="F20" s="23">
        <v>0.3923611111111111</v>
      </c>
      <c r="G20" s="8" t="s">
        <v>65</v>
      </c>
    </row>
    <row r="21" spans="1:7" ht="18" customHeight="1" thickBot="1" x14ac:dyDescent="0.3">
      <c r="A21" s="6" t="s">
        <v>53</v>
      </c>
      <c r="B21" s="32"/>
      <c r="C21" s="7">
        <v>105</v>
      </c>
      <c r="D21" s="8" t="s">
        <v>61</v>
      </c>
      <c r="E21" s="8" t="s">
        <v>34</v>
      </c>
      <c r="F21" s="25">
        <v>0.47569444444444442</v>
      </c>
      <c r="G21" s="8" t="s">
        <v>66</v>
      </c>
    </row>
    <row r="22" spans="1:7" ht="18" customHeight="1" thickBot="1" x14ac:dyDescent="0.3">
      <c r="A22" s="11" t="s">
        <v>12</v>
      </c>
      <c r="B22" s="17" t="s">
        <v>22</v>
      </c>
      <c r="C22" s="17" t="s">
        <v>18</v>
      </c>
      <c r="D22" s="26">
        <f>SUM(C20:C21)</f>
        <v>105</v>
      </c>
      <c r="E22" s="26"/>
      <c r="F22" s="26"/>
      <c r="G22" s="27"/>
    </row>
    <row r="23" spans="1:7" ht="30" customHeight="1" x14ac:dyDescent="0.25">
      <c r="A23" s="4" t="s">
        <v>53</v>
      </c>
      <c r="B23" s="31">
        <v>45978</v>
      </c>
      <c r="C23" s="5">
        <v>105</v>
      </c>
      <c r="D23" s="8" t="s">
        <v>61</v>
      </c>
      <c r="E23" s="8" t="s">
        <v>34</v>
      </c>
      <c r="F23" s="23">
        <v>0.63194444444444442</v>
      </c>
      <c r="G23" s="8" t="s">
        <v>67</v>
      </c>
    </row>
    <row r="24" spans="1:7" ht="30" customHeight="1" x14ac:dyDescent="0.25">
      <c r="A24" s="6" t="s">
        <v>53</v>
      </c>
      <c r="B24" s="32"/>
      <c r="C24" s="7">
        <v>10</v>
      </c>
      <c r="D24" s="8" t="s">
        <v>68</v>
      </c>
      <c r="E24" s="8" t="s">
        <v>34</v>
      </c>
      <c r="F24" s="23">
        <v>0.63888888888888895</v>
      </c>
      <c r="G24" s="19"/>
    </row>
    <row r="25" spans="1:7" ht="18" customHeight="1" thickBot="1" x14ac:dyDescent="0.3">
      <c r="A25" s="9" t="s">
        <v>53</v>
      </c>
      <c r="B25" s="32"/>
      <c r="C25" s="9">
        <v>25</v>
      </c>
      <c r="D25" s="8" t="s">
        <v>69</v>
      </c>
      <c r="E25" s="10" t="s">
        <v>34</v>
      </c>
      <c r="F25" s="23">
        <v>0.65625</v>
      </c>
      <c r="G25" s="8" t="s">
        <v>70</v>
      </c>
    </row>
    <row r="26" spans="1:7" ht="18" customHeight="1" thickBot="1" x14ac:dyDescent="0.3">
      <c r="A26" s="11" t="s">
        <v>12</v>
      </c>
      <c r="B26" s="17" t="s">
        <v>23</v>
      </c>
      <c r="C26" s="17" t="s">
        <v>18</v>
      </c>
      <c r="D26" s="26">
        <f>SUM(C23:C25)</f>
        <v>140</v>
      </c>
      <c r="E26" s="26"/>
      <c r="F26" s="26"/>
      <c r="G26" s="27"/>
    </row>
    <row r="27" spans="1:7" ht="58.5" customHeight="1" x14ac:dyDescent="0.25">
      <c r="A27" s="6" t="s">
        <v>53</v>
      </c>
      <c r="B27" s="31">
        <v>45979</v>
      </c>
      <c r="C27" s="5">
        <v>100</v>
      </c>
      <c r="D27" s="8" t="s">
        <v>71</v>
      </c>
      <c r="E27" s="8" t="s">
        <v>34</v>
      </c>
      <c r="F27" s="23">
        <v>0.4375</v>
      </c>
      <c r="G27" s="8" t="s">
        <v>73</v>
      </c>
    </row>
    <row r="28" spans="1:7" ht="30" customHeight="1" x14ac:dyDescent="0.25">
      <c r="A28" s="6" t="s">
        <v>53</v>
      </c>
      <c r="B28" s="32"/>
      <c r="C28" s="7">
        <v>45</v>
      </c>
      <c r="D28" s="8" t="s">
        <v>72</v>
      </c>
      <c r="E28" s="8" t="s">
        <v>34</v>
      </c>
      <c r="F28" s="23">
        <v>0.46875</v>
      </c>
      <c r="G28" s="8" t="s">
        <v>74</v>
      </c>
    </row>
    <row r="29" spans="1:7" ht="30" customHeight="1" thickBot="1" x14ac:dyDescent="0.3">
      <c r="A29" s="6" t="s">
        <v>53</v>
      </c>
      <c r="B29" s="32"/>
      <c r="C29" s="7">
        <v>10</v>
      </c>
      <c r="D29" s="8" t="s">
        <v>75</v>
      </c>
      <c r="E29" s="8" t="s">
        <v>34</v>
      </c>
      <c r="F29" s="23">
        <v>0.47569444444444442</v>
      </c>
      <c r="G29" s="19"/>
    </row>
    <row r="30" spans="1:7" ht="18" customHeight="1" thickBot="1" x14ac:dyDescent="0.3">
      <c r="A30" s="11" t="s">
        <v>12</v>
      </c>
      <c r="B30" s="17" t="s">
        <v>24</v>
      </c>
      <c r="C30" s="17" t="s">
        <v>18</v>
      </c>
      <c r="D30" s="26">
        <f>SUM(C27:C29)</f>
        <v>155</v>
      </c>
      <c r="E30" s="26"/>
      <c r="F30" s="26"/>
      <c r="G30" s="27"/>
    </row>
    <row r="31" spans="1:7" ht="18" customHeight="1" x14ac:dyDescent="0.25">
      <c r="A31" s="4" t="s">
        <v>53</v>
      </c>
      <c r="B31" s="31"/>
      <c r="C31" s="5">
        <v>10</v>
      </c>
      <c r="D31" s="8" t="s">
        <v>76</v>
      </c>
      <c r="E31" s="8" t="s">
        <v>34</v>
      </c>
      <c r="F31" s="23">
        <v>0.55555555555555558</v>
      </c>
      <c r="G31" s="19"/>
    </row>
    <row r="32" spans="1:7" ht="30" customHeight="1" x14ac:dyDescent="0.25">
      <c r="A32" s="6" t="s">
        <v>53</v>
      </c>
      <c r="B32" s="32"/>
      <c r="C32" s="7"/>
      <c r="D32" s="8" t="s">
        <v>77</v>
      </c>
      <c r="E32" s="8" t="s">
        <v>35</v>
      </c>
      <c r="F32" s="22"/>
      <c r="G32" s="19"/>
    </row>
    <row r="33" spans="1:7" ht="18" customHeight="1" x14ac:dyDescent="0.25">
      <c r="A33" s="6"/>
      <c r="B33" s="32"/>
      <c r="C33" s="7"/>
      <c r="D33" s="8"/>
      <c r="E33" s="8"/>
      <c r="F33" s="7"/>
      <c r="G33" s="19"/>
    </row>
    <row r="34" spans="1:7" ht="18" customHeight="1" x14ac:dyDescent="0.25">
      <c r="A34" s="6"/>
      <c r="B34" s="32"/>
      <c r="C34" s="7"/>
      <c r="D34" s="8"/>
      <c r="E34" s="8"/>
      <c r="F34" s="7"/>
      <c r="G34" s="19"/>
    </row>
    <row r="35" spans="1:7" ht="18" customHeight="1" thickBot="1" x14ac:dyDescent="0.3">
      <c r="A35" s="9"/>
      <c r="B35" s="33"/>
      <c r="C35" s="9"/>
      <c r="D35" s="8"/>
      <c r="E35" s="10"/>
      <c r="F35" s="7"/>
      <c r="G35" s="19"/>
    </row>
    <row r="36" spans="1:7" ht="18" customHeight="1" thickBot="1" x14ac:dyDescent="0.3">
      <c r="A36" s="11" t="s">
        <v>12</v>
      </c>
      <c r="B36" s="17" t="s">
        <v>25</v>
      </c>
      <c r="C36" s="17" t="s">
        <v>18</v>
      </c>
      <c r="D36" s="26">
        <f>SUM(C31:C35)</f>
        <v>10</v>
      </c>
      <c r="E36" s="26"/>
      <c r="F36" s="26"/>
      <c r="G36" s="27"/>
    </row>
    <row r="37" spans="1:7" ht="18" customHeight="1" x14ac:dyDescent="0.25">
      <c r="A37" s="4"/>
      <c r="B37" s="31"/>
      <c r="C37" s="5"/>
      <c r="D37" s="8"/>
      <c r="E37" s="8"/>
      <c r="F37" s="22"/>
      <c r="G37" s="19"/>
    </row>
    <row r="38" spans="1:7" ht="18" customHeight="1" x14ac:dyDescent="0.25">
      <c r="A38" s="6"/>
      <c r="B38" s="32"/>
      <c r="C38" s="7"/>
      <c r="D38" s="8"/>
      <c r="E38" s="8"/>
      <c r="F38" s="22"/>
      <c r="G38" s="19"/>
    </row>
    <row r="39" spans="1:7" ht="18" customHeight="1" x14ac:dyDescent="0.25">
      <c r="A39" s="6"/>
      <c r="B39" s="32"/>
      <c r="C39" s="7"/>
      <c r="D39" s="8"/>
      <c r="E39" s="8"/>
      <c r="F39" s="7"/>
      <c r="G39" s="19"/>
    </row>
    <row r="40" spans="1:7" ht="18" customHeight="1" x14ac:dyDescent="0.25">
      <c r="A40" s="6"/>
      <c r="B40" s="32"/>
      <c r="C40" s="7"/>
      <c r="D40" s="8"/>
      <c r="E40" s="8"/>
      <c r="F40" s="7"/>
      <c r="G40" s="19"/>
    </row>
    <row r="41" spans="1:7" ht="18" customHeight="1" thickBot="1" x14ac:dyDescent="0.3">
      <c r="A41" s="9"/>
      <c r="B41" s="33"/>
      <c r="C41" s="9"/>
      <c r="D41" s="8"/>
      <c r="E41" s="10"/>
      <c r="F41" s="7"/>
      <c r="G41" s="19"/>
    </row>
    <row r="42" spans="1:7" ht="18" customHeight="1" thickBot="1" x14ac:dyDescent="0.3">
      <c r="A42" s="11" t="s">
        <v>12</v>
      </c>
      <c r="B42" s="17" t="s">
        <v>26</v>
      </c>
      <c r="C42" s="17" t="s">
        <v>18</v>
      </c>
      <c r="D42" s="26">
        <f>SUM(C37:C41)</f>
        <v>0</v>
      </c>
      <c r="E42" s="26"/>
      <c r="F42" s="26"/>
      <c r="G42" s="27"/>
    </row>
    <row r="43" spans="1:7" ht="21" customHeight="1" thickBot="1" x14ac:dyDescent="0.3">
      <c r="A43" s="38" t="s">
        <v>13</v>
      </c>
      <c r="B43" s="39"/>
      <c r="C43" s="12">
        <f>MROUND(SUM(C6:C42) /60,0.2)</f>
        <v>14.200000000000001</v>
      </c>
      <c r="D43" s="13"/>
      <c r="E43" s="18"/>
      <c r="F43" s="20"/>
      <c r="G43" s="14"/>
    </row>
    <row r="44" spans="1:7" x14ac:dyDescent="0.25">
      <c r="A44" s="15" t="s">
        <v>14</v>
      </c>
    </row>
    <row r="45" spans="1:7" x14ac:dyDescent="0.25">
      <c r="A45" s="15"/>
    </row>
  </sheetData>
  <mergeCells count="27">
    <mergeCell ref="B20:B21"/>
    <mergeCell ref="B23:B25"/>
    <mergeCell ref="B27:B29"/>
    <mergeCell ref="A43:B43"/>
    <mergeCell ref="B31:B35"/>
    <mergeCell ref="B37:B41"/>
    <mergeCell ref="F1:G1"/>
    <mergeCell ref="D1:E1"/>
    <mergeCell ref="D2:E2"/>
    <mergeCell ref="D3:E3"/>
    <mergeCell ref="B1:C1"/>
    <mergeCell ref="B2:C2"/>
    <mergeCell ref="B3:C3"/>
    <mergeCell ref="F2:G2"/>
    <mergeCell ref="F3:G3"/>
    <mergeCell ref="D9:G9"/>
    <mergeCell ref="D15:G15"/>
    <mergeCell ref="D19:G19"/>
    <mergeCell ref="B4:G4"/>
    <mergeCell ref="B6:B8"/>
    <mergeCell ref="B10:B14"/>
    <mergeCell ref="B16:B18"/>
    <mergeCell ref="D22:G22"/>
    <mergeCell ref="D26:G26"/>
    <mergeCell ref="D30:G30"/>
    <mergeCell ref="D36:G36"/>
    <mergeCell ref="D42:G42"/>
  </mergeCells>
  <dataValidations count="2">
    <dataValidation type="whole" operator="greaterThan" allowBlank="1" showInputMessage="1" showErrorMessage="1" errorTitle="Durée par tranche de 10min" error="Le nombre doit être de type entier" sqref="C37:C41 C27:C29 C31:C35 C16:C18 B6 C10:C14 C20:C21 C6:C8 C23:C25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10:B14 B16:B18 B20:B21 B37:B41 B27:B29 B31:B35 B23:B25" xr:uid="{7694F886-C01B-440C-B6C8-5FF698F43C26}">
      <formula1>45261</formula1>
    </dataValidation>
  </dataValidations>
  <hyperlinks>
    <hyperlink ref="G6" r:id="rId1" xr:uid="{48F1459F-A9D8-4CFC-BB03-37B9BE21D6DE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2"/>
  <headerFooter>
    <oddHeader>&amp;L&amp;"Etml_font,Normal"&amp;22ETML&amp;R&amp;G</oddHeader>
    <oddFooter>&amp;L&amp;14&amp;D&amp;R&amp;14Journal</oddFoot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" operator="equal" id="{6BC2577B-BDA3-4B48-8F95-0F2177F9264F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A4:E8 A10:E14 A16:E18 A20:E21 A23:E25 A27:E29 A31:E35 A37:E41 A43:E1048576 A1:D2 F1:F3 A3 D3 G4:G5 G7:G8 A9:D9 A15:D15 A19:D19 A22:D22 A26:D26 A30:D30 A36:D36 A42:D42 G43:G1048576</xm:sqref>
        </x14:conditionalFormatting>
        <x14:conditionalFormatting xmlns:xm="http://schemas.microsoft.com/office/excel/2006/main">
          <x14:cfRule type="cellIs" priority="18" operator="equal" id="{9C6C644F-7238-453A-BC69-B42FAB3A2FA5}">
            <xm:f>Restrictions!$A$1</xm:f>
            <x14:dxf>
              <fill>
                <patternFill>
                  <bgColor rgb="FF00B050"/>
                </patternFill>
              </fill>
            </x14:dxf>
          </x14:cfRule>
          <x14:cfRule type="cellIs" priority="20" operator="equal" id="{6DE85145-1CAE-407F-B647-4C9B303613C7}">
            <xm:f>Restrictions!$C$1</xm:f>
            <x14:dxf>
              <fill>
                <patternFill>
                  <bgColor rgb="FFFFC000"/>
                </patternFill>
              </fill>
            </x14:dxf>
          </x14:cfRule>
          <x14:cfRule type="cellIs" priority="21" operator="equal" id="{29EA468D-F98D-4D41-AA55-B63DA0941363}">
            <xm:f>Restrictions!$D$1</xm:f>
            <x14:dxf>
              <fill>
                <patternFill>
                  <bgColor rgb="FFFF0000"/>
                </patternFill>
              </fill>
            </x14:dxf>
          </x14:cfRule>
          <xm:sqref>E4:E8 E10:E14 E16:E18 E20:E21 E23:E25 E27:E29 E31:E35 E37:E41 E43:E1048576</xm:sqref>
        </x14:conditionalFormatting>
        <x14:conditionalFormatting xmlns:xm="http://schemas.microsoft.com/office/excel/2006/main">
          <x14:cfRule type="containsText" priority="15" operator="containsText" id="{FD0F452B-B2F8-4F75-A8CD-A69AC0834E64}">
            <xm:f>NOT(ISERROR(SEARCH(Restrictions!$B$1,F6)))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F6:F8</xm:sqref>
        </x14:conditionalFormatting>
        <x14:conditionalFormatting xmlns:xm="http://schemas.microsoft.com/office/excel/2006/main">
          <x14:cfRule type="containsText" priority="13" operator="containsText" id="{6407061A-B268-44CE-A52C-133739941B16}">
            <xm:f>NOT(ISERROR(SEARCH(Restrictions!$B$1,F16)))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F16:F18</xm:sqref>
        </x14:conditionalFormatting>
        <x14:conditionalFormatting xmlns:xm="http://schemas.microsoft.com/office/excel/2006/main">
          <x14:cfRule type="containsText" priority="12" operator="containsText" id="{756A584A-6AAC-4559-9F27-A59B4EFD7F34}">
            <xm:f>NOT(ISERROR(SEARCH(Restrictions!$B$1,F20)))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F20:F21</xm:sqref>
        </x14:conditionalFormatting>
        <x14:conditionalFormatting xmlns:xm="http://schemas.microsoft.com/office/excel/2006/main">
          <x14:cfRule type="containsText" priority="11" operator="containsText" id="{E988FD75-2909-4816-91C7-1018002A435D}">
            <xm:f>NOT(ISERROR(SEARCH(Restrictions!$B$1,F23)))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F23 F24:G24 F25</xm:sqref>
        </x14:conditionalFormatting>
        <x14:conditionalFormatting xmlns:xm="http://schemas.microsoft.com/office/excel/2006/main">
          <x14:cfRule type="containsText" priority="10" operator="containsText" id="{D5B6D5DF-9E2A-4C4B-BA82-97D983766AEE}">
            <xm:f>NOT(ISERROR(SEARCH(Restrictions!$B$1,F27)))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F27:F28 F29:G29</xm:sqref>
        </x14:conditionalFormatting>
        <x14:conditionalFormatting xmlns:xm="http://schemas.microsoft.com/office/excel/2006/main">
          <x14:cfRule type="containsText" priority="14" operator="containsText" id="{88417B48-EA26-4D48-9EFE-B6A1E5C426AE}">
            <xm:f>NOT(ISERROR(SEARCH(Restrictions!$B$1,F10)))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F10:G10 F11:F12 F13:G13 F14</xm:sqref>
        </x14:conditionalFormatting>
        <x14:conditionalFormatting xmlns:xm="http://schemas.microsoft.com/office/excel/2006/main">
          <x14:cfRule type="containsText" priority="9" operator="containsText" id="{1555D56B-E8B5-4F0A-9D80-B2C1016EB105}">
            <xm:f>NOT(ISERROR(SEARCH(Restrictions!$B$1,F31)))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F31:G35</xm:sqref>
        </x14:conditionalFormatting>
        <x14:conditionalFormatting xmlns:xm="http://schemas.microsoft.com/office/excel/2006/main">
          <x14:cfRule type="containsText" priority="8" operator="containsText" id="{2F0F41F7-8C93-48A6-B013-C45F8E29AE34}">
            <xm:f>NOT(ISERROR(SEARCH(Restrictions!$B$1,F37)))</xm:f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F37:G41</xm:sqref>
        </x14:conditionalFormatting>
        <x14:conditionalFormatting xmlns:xm="http://schemas.microsoft.com/office/excel/2006/main">
          <x14:cfRule type="cellIs" priority="7" operator="equal" id="{C81CB296-EBDE-4E68-996A-22E647E300C9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G11:G12</xm:sqref>
        </x14:conditionalFormatting>
        <x14:conditionalFormatting xmlns:xm="http://schemas.microsoft.com/office/excel/2006/main">
          <x14:cfRule type="cellIs" priority="6" operator="equal" id="{C6523CE4-984A-4BEA-B850-BBE212DEC1BD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ellIs" priority="5" operator="equal" id="{34CA0963-7227-4B81-A491-AF5EBF6948E0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G16:G18</xm:sqref>
        </x14:conditionalFormatting>
        <x14:conditionalFormatting xmlns:xm="http://schemas.microsoft.com/office/excel/2006/main">
          <x14:cfRule type="cellIs" priority="4" operator="equal" id="{0137ED0B-0223-4A2D-BBA6-66B7E7B0177B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G20:G21</xm:sqref>
        </x14:conditionalFormatting>
        <x14:conditionalFormatting xmlns:xm="http://schemas.microsoft.com/office/excel/2006/main">
          <x14:cfRule type="cellIs" priority="3" operator="equal" id="{0559BE0C-06E8-4BF0-855B-46B347A65A43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cellIs" priority="2" operator="equal" id="{A10A680C-18B8-4576-98EE-F30E41E55578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cellIs" priority="1" operator="equal" id="{EE200D4C-87A3-41C0-AADC-DBA0F1BBC7B2}">
            <xm:f>Restrictions!$B$1</xm:f>
            <x14:dxf>
              <fill>
                <patternFill>
                  <bgColor rgb="FF00B0F0"/>
                </patternFill>
              </fill>
            </x14:dxf>
          </x14:cfRule>
          <xm:sqref>G27:G28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1ED1A-D9E7-4F6F-A32A-17EE6B774A99}">
          <x14:formula1>
            <xm:f>Restrictions!$A$1:$D$1</xm:f>
          </x14:formula1>
          <xm:sqref>E1:E4 E6:E8 E10:E14 E16:E18 E20:E21 E43:E1048576 E27:E29 E31:E35 E37:E41 E23:E25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185-8505-495A-B1CC-27F1C88988D0}">
  <dimension ref="A1:D1"/>
  <sheetViews>
    <sheetView workbookViewId="0"/>
  </sheetViews>
  <sheetFormatPr baseColWidth="10" defaultRowHeight="13.5" x14ac:dyDescent="0.25"/>
  <sheetData>
    <row r="1" spans="1:4" x14ac:dyDescent="0.25">
      <c r="A1" t="s">
        <v>34</v>
      </c>
      <c r="B1" t="s">
        <v>45</v>
      </c>
      <c r="C1" t="s">
        <v>35</v>
      </c>
      <c r="D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0758-7132-46a4-a2fe-7a2cf46f51f4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B8F5EAAC22C48A11F5D9A60E6F21D" ma:contentTypeVersion="16" ma:contentTypeDescription="Crée un document." ma:contentTypeScope="" ma:versionID="f2b963976306cc54294b7f4545a3c6c4">
  <xsd:schema xmlns:xsd="http://www.w3.org/2001/XMLSchema" xmlns:xs="http://www.w3.org/2001/XMLSchema" xmlns:p="http://schemas.microsoft.com/office/2006/metadata/properties" xmlns:ns2="a1b10758-7132-46a4-a2fe-7a2cf46f51f4" xmlns:ns3="f7d9f5a6-831d-4621-8c77-cbcaf993e406" targetNamespace="http://schemas.microsoft.com/office/2006/metadata/properties" ma:root="true" ma:fieldsID="e5e135fa2fc1295e1586ddcd9c1a8904" ns2:_="" ns3:_="">
    <xsd:import namespace="a1b10758-7132-46a4-a2fe-7a2cf46f51f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0758-7132-46a4-a2fe-7a2cf46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5ae18fe-e647-4d3d-978d-a159861f0a34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F7E92-72FE-4C94-B42F-AE9EA593DE95}">
  <ds:schemaRefs>
    <ds:schemaRef ds:uri="http://schemas.microsoft.com/office/2006/metadata/properties"/>
    <ds:schemaRef ds:uri="http://schemas.microsoft.com/office/infopath/2007/PartnerControls"/>
    <ds:schemaRef ds:uri="a1b10758-7132-46a4-a2fe-7a2cf46f51f4"/>
    <ds:schemaRef ds:uri="f7d9f5a6-831d-4621-8c77-cbcaf993e406"/>
  </ds:schemaRefs>
</ds:datastoreItem>
</file>

<file path=customXml/itemProps3.xml><?xml version="1.0" encoding="utf-8"?>
<ds:datastoreItem xmlns:ds="http://schemas.openxmlformats.org/officeDocument/2006/customXml" ds:itemID="{40597E6F-FA73-4A07-893F-099FDC15B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0758-7132-46a4-a2fe-7a2cf46f51f4"/>
    <ds:schemaRef ds:uri="f7d9f5a6-831d-4621-8c77-cbcaf993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</vt:lpstr>
      <vt:lpstr>Restrictions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T_CraftMeUp_NeoDarbellay</dc:title>
  <dc:subject>Journal de travail</dc:subject>
  <dc:creator>Néo Darbellay</dc:creator>
  <cp:keywords/>
  <dc:description/>
  <cp:lastModifiedBy>Néo Darbellay</cp:lastModifiedBy>
  <cp:revision/>
  <dcterms:created xsi:type="dcterms:W3CDTF">1996-10-21T11:03:58Z</dcterms:created>
  <dcterms:modified xsi:type="dcterms:W3CDTF">2025-11-24T12:32:12Z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0x0101005A5B8F5EAAC22C48A11F5D9A60E6F21D</vt:lpwstr>
  </property>
</Properties>
</file>