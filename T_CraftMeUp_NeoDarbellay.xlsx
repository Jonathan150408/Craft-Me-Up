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E2181784-5C5C-4382-BF52-C78C403E94D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8" l="1"/>
  <c r="D59" i="18"/>
  <c r="D56" i="18"/>
  <c r="D70" i="18"/>
  <c r="D76" i="18"/>
  <c r="D45" i="18"/>
  <c r="D43" i="18"/>
  <c r="D52" i="18"/>
  <c r="D82" i="18"/>
  <c r="D40" i="18"/>
  <c r="D30" i="18"/>
  <c r="D26" i="18"/>
  <c r="D22" i="18"/>
  <c r="D19" i="18"/>
  <c r="D15" i="18"/>
  <c r="D9" i="18"/>
  <c r="C83" i="18" l="1"/>
</calcChain>
</file>

<file path=xl/sharedStrings.xml><?xml version="1.0" encoding="utf-8"?>
<sst xmlns="http://schemas.openxmlformats.org/spreadsheetml/2006/main" count="236" uniqueCount="119">
  <si>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</si>
  <si>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</si>
  <si>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</si>
  <si>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</si>
  <si>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</si>
  <si>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</si>
  <si>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</si>
  <si>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</si>
  <si>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</si>
  <si>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</si>
  <si>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</si>
  <si>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</si>
  <si>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</si>
  <si>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</si>
  <si>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</si>
  <si>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</si>
  <si>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</si>
  <si>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</si>
  <si>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</si>
  <si>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</si>
  <si>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</si>
  <si>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</si>
  <si>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</si>
  <si>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</si>
  <si>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</si>
  <si>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</si>
  <si>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</si>
  <si>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</si>
  <si>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</si>
  <si>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</si>
  <si>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</si>
  <si>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</si>
  <si>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</si>
  <si>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</si>
  <si>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</si>
  <si>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</si>
  <si>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</si>
  <si>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</si>
  <si>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</si>
  <si>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</si>
  <si>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</si>
  <si>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</si>
  <si>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</si>
  <si>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</si>
  <si>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</si>
  <si>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</si>
  <si>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</si>
  <si>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</si>
  <si>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</si>
  <si>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</si>
  <si>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</si>
  <si>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</si>
  <si>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</si>
  <si>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</si>
  <si>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</si>
  <si>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</si>
  <si>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</si>
  <si>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</si>
  <si>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</si>
  <si>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</si>
  <si>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</si>
  <si>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</si>
  <si>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</si>
  <si>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</si>
  <si>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</si>
  <si>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</si>
  <si>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</si>
  <si>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</si>
  <si>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</si>
  <si>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</si>
  <si>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</si>
  <si>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</si>
  <si>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</si>
  <si>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</si>
  <si>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</si>
  <si>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</si>
  <si>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</si>
  <si>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</si>
  <si>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</si>
  <si>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</si>
  <si>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</si>
  <si>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</si>
  <si>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</si>
  <si>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</si>
  <si>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</si>
  <si>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S. Oliveira and G. Bianco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</si>
  <si>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</si>
  <si>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</si>
  <si>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</si>
  <si>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</si>
  <si>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</si>
  <si>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</si>
  <si>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</si>
  <si>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</si>
  <si>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</si>
  <si>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</si>
  <si>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</si>
  <si>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</si>
  <si>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</si>
  <si>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</si>
  <si>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</si>
  <si>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</si>
  <si>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</si>
  <si>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</si>
  <si>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</si>
  <si>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</si>
  <si>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</si>
  <si>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</si>
  <si>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</si>
  <si>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</si>
  <si>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</si>
  <si>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</si>
  <si>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</si>
  <si>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</si>
  <si>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</si>
  <si>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Adding sprites to the new boss types and</t>
  </si>
  <si>
    <t>Making some bosses ignore obstacles</t>
  </si>
  <si>
    <t>Fixing the pause button issues</t>
  </si>
  <si>
    <t>I also implemented DeltaTime movement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</si>
</sst>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 customBuiltin="1"/>
  </cellStyles>
  <dxfs count="6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85"/>
  <sheetViews>
    <sheetView tabSelected="1" view="pageBreakPreview" zoomScaleNormal="100" zoomScaleSheetLayoutView="100" workbookViewId="0">
      <pane xSplit="3" ySplit="5" topLeftCell="D50" activePane="bottomRight" state="frozen"/>
      <selection pane="topRight" activeCell="D1" sqref="D1"/>
      <selection pane="bottomLeft" activeCell="A2" sqref="A2"/>
      <selection pane="bottomRight" activeCell="A64" sqref="A64:XFD68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29" t="s">
        <v>3</v>
      </c>
      <c r="C1" s="31"/>
      <c r="D1" s="37" t="s">
        <v>87</v>
      </c>
      <c r="E1" s="38"/>
      <c r="F1" s="35" t="s">
        <v>5</v>
      </c>
      <c r="G1" s="36"/>
    </row>
    <row r="2" spans="1:7" ht="21" customHeight="1" thickBot="1" x14ac:dyDescent="0.3">
      <c r="A2" s="16" t="s">
        <v>83</v>
      </c>
      <c r="B2" s="29" t="s">
        <v>4</v>
      </c>
      <c r="C2" s="31"/>
      <c r="D2" s="37" t="s">
        <v>0</v>
      </c>
      <c r="E2" s="38"/>
      <c r="F2" s="35" t="s">
        <v>1</v>
      </c>
      <c r="G2" s="36"/>
    </row>
    <row r="3" spans="1:7" ht="21" customHeight="1" thickBot="1" x14ac:dyDescent="0.3">
      <c r="A3" s="16" t="s">
        <v>84</v>
      </c>
      <c r="B3" s="29" t="s">
        <v>85</v>
      </c>
      <c r="C3" s="31"/>
      <c r="D3" s="37" t="s">
        <v>88</v>
      </c>
      <c r="E3" s="38"/>
      <c r="F3" s="29" t="s">
        <v>13</v>
      </c>
      <c r="G3" s="31"/>
    </row>
    <row r="4" spans="1:7" ht="21" customHeight="1" thickBot="1" x14ac:dyDescent="0.3">
      <c r="A4" s="16" t="s">
        <v>86</v>
      </c>
      <c r="B4" s="29" t="s">
        <v>6</v>
      </c>
      <c r="C4" s="30"/>
      <c r="D4" s="30"/>
      <c r="E4" s="30"/>
      <c r="F4" s="30"/>
      <c r="G4" s="31"/>
    </row>
    <row r="5" spans="1:7" ht="21" customHeight="1" thickBot="1" x14ac:dyDescent="0.3">
      <c r="A5" s="2" t="s">
        <v>89</v>
      </c>
      <c r="B5" s="3" t="s">
        <v>2</v>
      </c>
      <c r="C5" s="41" t="s">
        <v>90</v>
      </c>
      <c r="D5" s="2" t="s">
        <v>17</v>
      </c>
      <c r="E5" s="2" t="s">
        <v>91</v>
      </c>
      <c r="F5" s="2" t="s">
        <v>92</v>
      </c>
      <c r="G5" s="2" t="s">
        <v>93</v>
      </c>
    </row>
    <row r="6" spans="1:7" ht="18" customHeight="1" x14ac:dyDescent="0.2">
      <c r="A6" s="4" t="s">
        <v>8</v>
      </c>
      <c r="B6" s="32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33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33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96</v>
      </c>
      <c r="B9" s="17" t="s">
        <v>94</v>
      </c>
      <c r="C9" s="17" t="s">
        <v>95</v>
      </c>
      <c r="D9" s="27">
        <f>SUM(C6:C8)</f>
        <v>125</v>
      </c>
      <c r="E9" s="27"/>
      <c r="F9" s="27"/>
      <c r="G9" s="28"/>
    </row>
    <row r="10" spans="1:7" ht="18" customHeight="1" x14ac:dyDescent="0.25">
      <c r="A10" s="4" t="s">
        <v>14</v>
      </c>
      <c r="B10" s="32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33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33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33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4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96</v>
      </c>
      <c r="B15" s="17" t="s">
        <v>97</v>
      </c>
      <c r="C15" s="17" t="s">
        <v>95</v>
      </c>
      <c r="D15" s="27">
        <f>SUM(C10:C14)</f>
        <v>175</v>
      </c>
      <c r="E15" s="27"/>
      <c r="F15" s="27"/>
      <c r="G15" s="28"/>
    </row>
    <row r="16" spans="1:7" ht="18" customHeight="1" x14ac:dyDescent="0.25">
      <c r="A16" s="4" t="s">
        <v>31</v>
      </c>
      <c r="B16" s="32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33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33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96</v>
      </c>
      <c r="B19" s="17" t="s">
        <v>98</v>
      </c>
      <c r="C19" s="17" t="s">
        <v>95</v>
      </c>
      <c r="D19" s="27">
        <f>SUM(C16:C18)</f>
        <v>145</v>
      </c>
      <c r="E19" s="27"/>
      <c r="F19" s="27"/>
      <c r="G19" s="28"/>
    </row>
    <row r="20" spans="1:7" ht="58.5" customHeight="1" x14ac:dyDescent="0.25">
      <c r="A20" s="4" t="s">
        <v>37</v>
      </c>
      <c r="B20" s="32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33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96</v>
      </c>
      <c r="B22" s="17" t="s">
        <v>99</v>
      </c>
      <c r="C22" s="17" t="s">
        <v>95</v>
      </c>
      <c r="D22" s="27">
        <f>SUM(C20:C21)</f>
        <v>105</v>
      </c>
      <c r="E22" s="27"/>
      <c r="F22" s="27"/>
      <c r="G22" s="28"/>
    </row>
    <row r="23" spans="1:7" ht="30" customHeight="1" x14ac:dyDescent="0.25">
      <c r="A23" s="4" t="s">
        <v>28</v>
      </c>
      <c r="B23" s="32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33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33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96</v>
      </c>
      <c r="B26" s="17" t="s">
        <v>100</v>
      </c>
      <c r="C26" s="17" t="s">
        <v>95</v>
      </c>
      <c r="D26" s="27">
        <f>SUM(C23:C25)</f>
        <v>140</v>
      </c>
      <c r="E26" s="27"/>
      <c r="F26" s="27"/>
      <c r="G26" s="28"/>
    </row>
    <row r="27" spans="1:7" ht="58.5" customHeight="1" x14ac:dyDescent="0.25">
      <c r="A27" s="6" t="s">
        <v>28</v>
      </c>
      <c r="B27" s="32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33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33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96</v>
      </c>
      <c r="B30" s="17" t="s">
        <v>101</v>
      </c>
      <c r="C30" s="17" t="s">
        <v>95</v>
      </c>
      <c r="D30" s="27">
        <f>SUM(C27:C29)</f>
        <v>155</v>
      </c>
      <c r="E30" s="27"/>
      <c r="F30" s="27"/>
      <c r="G30" s="28"/>
    </row>
    <row r="31" spans="1:7" ht="18" customHeight="1" x14ac:dyDescent="0.25">
      <c r="A31" s="4" t="s">
        <v>28</v>
      </c>
      <c r="B31" s="32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33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33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33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33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33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33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33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33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96</v>
      </c>
      <c r="B40" s="17" t="s">
        <v>102</v>
      </c>
      <c r="C40" s="17" t="s">
        <v>95</v>
      </c>
      <c r="D40" s="27">
        <f>SUM(C31:C39)</f>
        <v>140</v>
      </c>
      <c r="E40" s="27"/>
      <c r="F40" s="27"/>
      <c r="G40" s="28"/>
    </row>
    <row r="41" spans="1:7" ht="18" customHeight="1" x14ac:dyDescent="0.25">
      <c r="A41" s="4" t="s">
        <v>25</v>
      </c>
      <c r="B41" s="32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33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96</v>
      </c>
      <c r="B43" s="17" t="s">
        <v>103</v>
      </c>
      <c r="C43" s="17" t="s">
        <v>95</v>
      </c>
      <c r="D43" s="27">
        <f>SUM(C41:C42)</f>
        <v>190</v>
      </c>
      <c r="E43" s="27"/>
      <c r="F43" s="27"/>
      <c r="G43" s="28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96</v>
      </c>
      <c r="B45" s="17" t="s">
        <v>104</v>
      </c>
      <c r="C45" s="17" t="s">
        <v>95</v>
      </c>
      <c r="D45" s="27">
        <f>SUM(C44:C44)</f>
        <v>140</v>
      </c>
      <c r="E45" s="27"/>
      <c r="F45" s="27"/>
      <c r="G45" s="28"/>
    </row>
    <row r="46" spans="1:7" ht="18" customHeight="1" x14ac:dyDescent="0.25">
      <c r="A46" s="4" t="s">
        <v>28</v>
      </c>
      <c r="B46" s="32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33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33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33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33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33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96</v>
      </c>
      <c r="B52" s="17" t="s">
        <v>105</v>
      </c>
      <c r="C52" s="17" t="s">
        <v>95</v>
      </c>
      <c r="D52" s="27">
        <f>SUM(C46:C51)</f>
        <v>190</v>
      </c>
      <c r="E52" s="27"/>
      <c r="F52" s="27"/>
      <c r="G52" s="28"/>
    </row>
    <row r="53" spans="1:7" ht="48" customHeight="1" x14ac:dyDescent="0.25">
      <c r="A53" s="4" t="s">
        <v>73</v>
      </c>
      <c r="B53" s="32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33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33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96</v>
      </c>
      <c r="B56" s="17" t="s">
        <v>106</v>
      </c>
      <c r="C56" s="17" t="s">
        <v>95</v>
      </c>
      <c r="D56" s="27">
        <f>SUM(C53:C55)</f>
        <v>140</v>
      </c>
      <c r="E56" s="27"/>
      <c r="F56" s="27"/>
      <c r="G56" s="28"/>
    </row>
    <row r="57" spans="1:7" ht="30" customHeight="1" x14ac:dyDescent="0.25">
      <c r="A57" s="4" t="s">
        <v>73</v>
      </c>
      <c r="B57" s="32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33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96</v>
      </c>
      <c r="B59" s="17" t="s">
        <v>107</v>
      </c>
      <c r="C59" s="17" t="s">
        <v>95</v>
      </c>
      <c r="D59" s="27">
        <f>SUM(C57:C58)</f>
        <v>140</v>
      </c>
      <c r="E59" s="27"/>
      <c r="F59" s="27"/>
      <c r="G59" s="28"/>
    </row>
    <row r="60" spans="1:7" ht="48" customHeight="1" x14ac:dyDescent="0.25">
      <c r="A60" s="4" t="s">
        <v>73</v>
      </c>
      <c r="B60" s="32">
        <v>46007</v>
      </c>
      <c r="C60" s="5">
        <v>60</v>
      </c>
      <c r="D60" s="8" t="s">
        <v>114</v>
      </c>
      <c r="E60" s="8" t="s">
        <v>9</v>
      </c>
      <c r="F60" s="23">
        <v>0.375</v>
      </c>
      <c r="G60" s="8" t="s">
        <v>113</v>
      </c>
    </row>
    <row r="61" spans="1:7" ht="18" customHeight="1" x14ac:dyDescent="0.25">
      <c r="A61" s="6" t="s">
        <v>28</v>
      </c>
      <c r="B61" s="33"/>
      <c r="C61" s="7">
        <v>10</v>
      </c>
      <c r="D61" s="8" t="s">
        <v>115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33"/>
      <c r="C62" s="7">
        <v>45</v>
      </c>
      <c r="D62" s="8" t="s">
        <v>116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33"/>
      <c r="C63" s="7">
        <v>65</v>
      </c>
      <c r="D63" s="8" t="s">
        <v>117</v>
      </c>
      <c r="E63" s="8" t="s">
        <v>9</v>
      </c>
      <c r="F63" s="23">
        <v>0.47569444444444442</v>
      </c>
      <c r="G63" s="8" t="s">
        <v>118</v>
      </c>
    </row>
    <row r="64" spans="1:7" ht="18" customHeight="1" thickBot="1" x14ac:dyDescent="0.3">
      <c r="A64" s="11" t="s">
        <v>96</v>
      </c>
      <c r="B64" s="17" t="s">
        <v>108</v>
      </c>
      <c r="C64" s="17" t="s">
        <v>95</v>
      </c>
      <c r="D64" s="27">
        <f>SUM(C60:C63)</f>
        <v>180</v>
      </c>
      <c r="E64" s="27"/>
      <c r="F64" s="27"/>
      <c r="G64" s="28"/>
    </row>
    <row r="65" spans="1:7" ht="18" customHeight="1" x14ac:dyDescent="0.25">
      <c r="A65" s="4"/>
      <c r="B65" s="32"/>
      <c r="C65" s="5"/>
      <c r="D65" s="8"/>
      <c r="E65" s="8"/>
      <c r="F65" s="22"/>
      <c r="G65" s="19"/>
    </row>
    <row r="66" spans="1:7" ht="18" customHeight="1" x14ac:dyDescent="0.25">
      <c r="A66" s="6"/>
      <c r="B66" s="33"/>
      <c r="C66" s="7"/>
      <c r="D66" s="8"/>
      <c r="E66" s="8"/>
      <c r="F66" s="22"/>
      <c r="G66" s="19"/>
    </row>
    <row r="67" spans="1:7" ht="18" customHeight="1" x14ac:dyDescent="0.25">
      <c r="A67" s="6"/>
      <c r="B67" s="33"/>
      <c r="C67" s="7"/>
      <c r="D67" s="8"/>
      <c r="E67" s="8"/>
      <c r="F67" s="7"/>
      <c r="G67" s="19"/>
    </row>
    <row r="68" spans="1:7" ht="18" customHeight="1" x14ac:dyDescent="0.25">
      <c r="A68" s="6"/>
      <c r="B68" s="33"/>
      <c r="C68" s="7"/>
      <c r="D68" s="8"/>
      <c r="E68" s="8"/>
      <c r="F68" s="7"/>
      <c r="G68" s="19"/>
    </row>
    <row r="69" spans="1:7" ht="18" customHeight="1" thickBot="1" x14ac:dyDescent="0.3">
      <c r="A69" s="9"/>
      <c r="B69" s="34"/>
      <c r="C69" s="9"/>
      <c r="D69" s="8"/>
      <c r="E69" s="10"/>
      <c r="F69" s="7"/>
      <c r="G69" s="19"/>
    </row>
    <row r="70" spans="1:7" ht="18" customHeight="1" thickBot="1" x14ac:dyDescent="0.3">
      <c r="A70" s="11" t="s">
        <v>96</v>
      </c>
      <c r="B70" s="17" t="s">
        <v>109</v>
      </c>
      <c r="C70" s="17" t="s">
        <v>95</v>
      </c>
      <c r="D70" s="27">
        <f>SUM(C65:C69)</f>
        <v>0</v>
      </c>
      <c r="E70" s="27"/>
      <c r="F70" s="27"/>
      <c r="G70" s="28"/>
    </row>
    <row r="71" spans="1:7" ht="18" customHeight="1" x14ac:dyDescent="0.25">
      <c r="A71" s="4"/>
      <c r="B71" s="32"/>
      <c r="C71" s="5"/>
      <c r="D71" s="8"/>
      <c r="E71" s="8"/>
      <c r="F71" s="22"/>
      <c r="G71" s="19"/>
    </row>
    <row r="72" spans="1:7" ht="18" customHeight="1" x14ac:dyDescent="0.25">
      <c r="A72" s="6"/>
      <c r="B72" s="33"/>
      <c r="C72" s="7"/>
      <c r="D72" s="8"/>
      <c r="E72" s="8"/>
      <c r="F72" s="22"/>
      <c r="G72" s="19"/>
    </row>
    <row r="73" spans="1:7" ht="18" customHeight="1" x14ac:dyDescent="0.25">
      <c r="A73" s="6"/>
      <c r="B73" s="33"/>
      <c r="C73" s="7"/>
      <c r="D73" s="8"/>
      <c r="E73" s="8"/>
      <c r="F73" s="7"/>
      <c r="G73" s="19"/>
    </row>
    <row r="74" spans="1:7" ht="18" customHeight="1" x14ac:dyDescent="0.25">
      <c r="A74" s="6"/>
      <c r="B74" s="33"/>
      <c r="C74" s="7"/>
      <c r="D74" s="8"/>
      <c r="E74" s="8"/>
      <c r="F74" s="7"/>
      <c r="G74" s="19"/>
    </row>
    <row r="75" spans="1:7" ht="18" customHeight="1" thickBot="1" x14ac:dyDescent="0.3">
      <c r="A75" s="9"/>
      <c r="B75" s="34"/>
      <c r="C75" s="9"/>
      <c r="D75" s="8"/>
      <c r="E75" s="10"/>
      <c r="F75" s="7"/>
      <c r="G75" s="19"/>
    </row>
    <row r="76" spans="1:7" ht="18" customHeight="1" thickBot="1" x14ac:dyDescent="0.3">
      <c r="A76" s="11" t="s">
        <v>96</v>
      </c>
      <c r="B76" s="17" t="s">
        <v>110</v>
      </c>
      <c r="C76" s="17" t="s">
        <v>95</v>
      </c>
      <c r="D76" s="27">
        <f>SUM(C71:C75)</f>
        <v>0</v>
      </c>
      <c r="E76" s="27"/>
      <c r="F76" s="27"/>
      <c r="G76" s="28"/>
    </row>
    <row r="77" spans="1:7" ht="18" customHeight="1" x14ac:dyDescent="0.25">
      <c r="A77" s="4"/>
      <c r="B77" s="32"/>
      <c r="C77" s="5"/>
      <c r="D77" s="8"/>
      <c r="E77" s="8"/>
      <c r="F77" s="22"/>
      <c r="G77" s="19"/>
    </row>
    <row r="78" spans="1:7" ht="18" customHeight="1" x14ac:dyDescent="0.25">
      <c r="A78" s="6"/>
      <c r="B78" s="33"/>
      <c r="C78" s="7"/>
      <c r="D78" s="8"/>
      <c r="E78" s="8"/>
      <c r="F78" s="22"/>
      <c r="G78" s="19"/>
    </row>
    <row r="79" spans="1:7" ht="18" customHeight="1" x14ac:dyDescent="0.25">
      <c r="A79" s="6"/>
      <c r="B79" s="33"/>
      <c r="C79" s="7"/>
      <c r="D79" s="8"/>
      <c r="E79" s="8"/>
      <c r="F79" s="7"/>
      <c r="G79" s="19"/>
    </row>
    <row r="80" spans="1:7" ht="18" customHeight="1" x14ac:dyDescent="0.25">
      <c r="A80" s="6"/>
      <c r="B80" s="33"/>
      <c r="C80" s="7"/>
      <c r="D80" s="8"/>
      <c r="E80" s="8"/>
      <c r="F80" s="7"/>
      <c r="G80" s="19"/>
    </row>
    <row r="81" spans="1:7" ht="18" customHeight="1" thickBot="1" x14ac:dyDescent="0.3">
      <c r="A81" s="9"/>
      <c r="B81" s="34"/>
      <c r="C81" s="9"/>
      <c r="D81" s="8"/>
      <c r="E81" s="10"/>
      <c r="F81" s="7"/>
      <c r="G81" s="19"/>
    </row>
    <row r="82" spans="1:7" ht="18" customHeight="1" thickBot="1" x14ac:dyDescent="0.3">
      <c r="A82" s="11" t="s">
        <v>96</v>
      </c>
      <c r="B82" s="17" t="s">
        <v>111</v>
      </c>
      <c r="C82" s="17" t="s">
        <v>95</v>
      </c>
      <c r="D82" s="27">
        <f>SUM(C77:C81)</f>
        <v>0</v>
      </c>
      <c r="E82" s="27"/>
      <c r="F82" s="27"/>
      <c r="G82" s="28"/>
    </row>
    <row r="83" spans="1:7" ht="21" customHeight="1" thickBot="1" x14ac:dyDescent="0.3">
      <c r="A83" s="39" t="s">
        <v>112</v>
      </c>
      <c r="B83" s="40"/>
      <c r="C83" s="12">
        <f>MROUND(SUM(C6:C82) /60,0.2)</f>
        <v>32.800000000000004</v>
      </c>
      <c r="D83" s="13"/>
      <c r="E83" s="18"/>
      <c r="F83" s="20"/>
      <c r="G83" s="14"/>
    </row>
    <row r="84" spans="1:7" x14ac:dyDescent="0.25">
      <c r="A84" s="15"/>
    </row>
    <row r="85" spans="1:7" x14ac:dyDescent="0.25">
      <c r="A85" s="15"/>
    </row>
  </sheetData>
  <mergeCells count="42">
    <mergeCell ref="B20:B21"/>
    <mergeCell ref="B23:B25"/>
    <mergeCell ref="B27:B29"/>
    <mergeCell ref="A83:B83"/>
    <mergeCell ref="B31:B39"/>
    <mergeCell ref="B77:B81"/>
    <mergeCell ref="B46:B51"/>
    <mergeCell ref="B41:B42"/>
    <mergeCell ref="B71:B75"/>
    <mergeCell ref="B65:B69"/>
    <mergeCell ref="B53:B55"/>
    <mergeCell ref="B57:B58"/>
    <mergeCell ref="B60:B63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82:G82"/>
    <mergeCell ref="D52:G52"/>
    <mergeCell ref="D43:G43"/>
    <mergeCell ref="D45:G45"/>
    <mergeCell ref="D76:G76"/>
    <mergeCell ref="D70:G70"/>
    <mergeCell ref="D56:G56"/>
    <mergeCell ref="D59:G59"/>
    <mergeCell ref="D64:G64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77:C81 C27:C29 C23:C25 C16:C18 B6 C10:C14 C20:C21 C6:C8 C31:C39 C41:C42 C44 C46:C51 C71:C75 C65:C69 C60:C63 C57:C58 C53:C5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77:B81 B27:B29 B23:B25 B31:B39 B41:B42 B44 B46:B51 B71:B75 B65:B69 B60:B63 B57:B58 B53:B5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7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7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A77:E81 A83:E1048576 A44:E44 A41:E42 A46:E51 A71:E75 A65:E69 A57:E58 A53:E55 A1:D2 F1:F3 A3 D3 G4:G5 G7:G8 A9:D9 G83:G1048576 A60:E63 A15:D15 A19:D19 A22:D22 A26:D26 A30:D30 A40:D40 A43:D43 A45:D45 A52:D52 A56:D56 A59:D59 A64:D64 A70:D70 A76:D76 A82:D82</xm:sqref>
        </x14:conditionalFormatting>
        <x14:conditionalFormatting xmlns:xm="http://schemas.microsoft.com/office/excel/2006/main">
          <x14:cfRule type="cellIs" priority="66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8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9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E77:E81 E83:E1048576</xm:sqref>
        </x14:conditionalFormatting>
        <x14:conditionalFormatting xmlns:xm="http://schemas.microsoft.com/office/excel/2006/main">
          <x14:cfRule type="cellIs" priority="35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6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7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39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0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1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27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8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9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7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9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11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2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3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15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6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7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19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0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1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23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4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5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E71:E75</xm:sqref>
        </x14:conditionalFormatting>
        <x14:conditionalFormatting xmlns:xm="http://schemas.microsoft.com/office/excel/2006/main">
          <x14:cfRule type="containsText" priority="63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61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60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59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58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8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6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10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62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57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46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34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26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14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F61:G62 F60 F63</xm:sqref>
        </x14:conditionalFormatting>
        <x14:conditionalFormatting xmlns:xm="http://schemas.microsoft.com/office/excel/2006/main">
          <x14:cfRule type="containsText" priority="18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22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F71:G75</xm:sqref>
        </x14:conditionalFormatting>
        <x14:conditionalFormatting xmlns:xm="http://schemas.microsoft.com/office/excel/2006/main">
          <x14:cfRule type="containsText" priority="56" operator="containsText" id="{2F0F41F7-8C93-48A6-B013-C45F8E29AE34}">
            <xm:f>NOT(ISERROR(SEARCH(Restrictions!$B$1,F77)))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F77:G81</xm:sqref>
        </x14:conditionalFormatting>
        <x14:conditionalFormatting xmlns:xm="http://schemas.microsoft.com/office/excel/2006/main">
          <x14:cfRule type="cellIs" priority="55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54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53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52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51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50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9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48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33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32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31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5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4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3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2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1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E83:E1048576 E27:E29 E23:E25 E77:E81 E31:E39 E41:E42 E44 E46:E51 E71:E75 E65:E69 E60:E63 E57:E58 E53:E55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2025-12-16T10:19:36Z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