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924D7B02-AE76-451A-AC13-79A98711FE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8" l="1"/>
  <c r="D46" i="18"/>
  <c r="D58" i="18"/>
  <c r="D64" i="18"/>
  <c r="D40" i="18"/>
  <c r="D30" i="18"/>
  <c r="D26" i="18"/>
  <c r="D22" i="18"/>
  <c r="D19" i="18"/>
  <c r="D15" i="18"/>
  <c r="D9" i="18"/>
  <c r="C65" i="18" l="1"/>
</calcChain>
</file>

<file path=xl/sharedStrings.xml><?xml version="1.0" encoding="utf-8"?>
<sst xmlns="http://schemas.openxmlformats.org/spreadsheetml/2006/main" count="159" uniqueCount="90">
  <si>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</si>
  <si>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</si>
  <si>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</si>
  <si>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</si>
  <si>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</si>
  <si>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</si>
  <si>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</si>
  <si>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</si>
  <si>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</si>
  <si>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</si>
  <si>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</si>
  <si>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</si>
  <si>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</si>
  <si>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</si>
  <si>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</si>
  <si>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</si>
  <si>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</si>
  <si>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</si>
  <si>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</si>
  <si>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</si>
  <si>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</si>
  <si>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</si>
  <si>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</si>
  <si>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</si>
  <si>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</si>
  <si>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</si>
  <si>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</si>
  <si>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</si>
  <si>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</si>
  <si>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</si>
  <si>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</si>
  <si>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</si>
  <si>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</si>
  <si>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</si>
  <si>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</si>
  <si>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</si>
  <si>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</si>
  <si>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</si>
  <si>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</si>
  <si>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</si>
  <si>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</si>
  <si>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</si>
  <si>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</si>
  <si>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</si>
  <si>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</si>
  <si>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</si>
  <si>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</si>
  <si>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</si>
  <si>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</si>
  <si>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</si>
  <si>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</si>
  <si>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</si>
  <si>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</si>
  <si>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</si>
  <si>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</si>
  <si>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</si>
  <si>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</si>
  <si>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</si>
  <si>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</si>
  <si>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</si>
  <si>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</si>
  <si>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</si>
  <si>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</si>
  <si>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</si>
  <si>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</si>
  <si>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</si>
  <si>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</si>
  <si>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</si>
  <si>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</si>
  <si>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</si>
  <si>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</si>
  <si>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</si>
  <si>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</si>
  <si>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</si>
  <si>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</si>
  <si>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</si>
  <si>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</si>
  <si>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</si>
  <si>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</si>
  <si>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</si>
  <si>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</si>
  <si>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</si>
  <si>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</si>
  <si>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Jour 9</t>
  </si>
  <si>
    <t>Jour 10</t>
  </si>
  <si>
    <t>Jour 11</t>
  </si>
  <si>
    <t>Adapting Projectile to work with the new CFrame system</t>
  </si>
  <si>
    <t>Writing 1 new issue</t>
  </si>
  <si>
    <t>Designing an image for the new issue</t>
  </si>
  <si>
    <t>Will finish it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</si>
</sst>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35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67"/>
  <sheetViews>
    <sheetView tabSelected="1" view="pageBreakPreview" zoomScaleNormal="100" zoomScaleSheetLayoutView="100" workbookViewId="0">
      <pane xSplit="3" ySplit="5" topLeftCell="D26" activePane="bottomRight" state="frozen"/>
      <selection pane="topRight" activeCell="D1" sqref="D1"/>
      <selection pane="bottomLeft" activeCell="A2" sqref="A2"/>
      <selection pane="bottomRight" activeCell="G39" sqref="G39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8" t="s">
        <v>27</v>
      </c>
      <c r="C1" s="30"/>
      <c r="D1" s="36" t="s">
        <v>1</v>
      </c>
      <c r="E1" s="37"/>
      <c r="F1" s="34" t="s">
        <v>29</v>
      </c>
      <c r="G1" s="35"/>
    </row>
    <row r="2" spans="1:7" ht="21" customHeight="1" thickBot="1" x14ac:dyDescent="0.3">
      <c r="A2" s="16" t="s">
        <v>2</v>
      </c>
      <c r="B2" s="28" t="s">
        <v>28</v>
      </c>
      <c r="C2" s="30"/>
      <c r="D2" s="36" t="s">
        <v>3</v>
      </c>
      <c r="E2" s="37"/>
      <c r="F2" s="34" t="s">
        <v>4</v>
      </c>
      <c r="G2" s="35"/>
    </row>
    <row r="3" spans="1:7" ht="21" customHeight="1" thickBot="1" x14ac:dyDescent="0.3">
      <c r="A3" s="16" t="s">
        <v>5</v>
      </c>
      <c r="B3" s="28" t="s">
        <v>31</v>
      </c>
      <c r="C3" s="30"/>
      <c r="D3" s="36" t="s">
        <v>6</v>
      </c>
      <c r="E3" s="37"/>
      <c r="F3" s="28" t="s">
        <v>38</v>
      </c>
      <c r="G3" s="30"/>
    </row>
    <row r="4" spans="1:7" ht="21" customHeight="1" thickBot="1" x14ac:dyDescent="0.3">
      <c r="A4" s="16" t="s">
        <v>7</v>
      </c>
      <c r="B4" s="28" t="s">
        <v>30</v>
      </c>
      <c r="C4" s="29"/>
      <c r="D4" s="29"/>
      <c r="E4" s="29"/>
      <c r="F4" s="29"/>
      <c r="G4" s="30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1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32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32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6">
        <f>SUM(C6:C8)</f>
        <v>125</v>
      </c>
      <c r="E9" s="26"/>
      <c r="F9" s="26"/>
      <c r="G9" s="27"/>
    </row>
    <row r="10" spans="1:7" ht="18" customHeight="1" x14ac:dyDescent="0.25">
      <c r="A10" s="4" t="s">
        <v>39</v>
      </c>
      <c r="B10" s="31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32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32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32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3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6">
        <f>SUM(C10:C14)</f>
        <v>175</v>
      </c>
      <c r="E15" s="26"/>
      <c r="F15" s="26"/>
      <c r="G15" s="27"/>
    </row>
    <row r="16" spans="1:7" ht="18" customHeight="1" x14ac:dyDescent="0.25">
      <c r="A16" s="4" t="s">
        <v>56</v>
      </c>
      <c r="B16" s="31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32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32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26">
        <f>SUM(C16:C18)</f>
        <v>145</v>
      </c>
      <c r="E19" s="26"/>
      <c r="F19" s="26"/>
      <c r="G19" s="27"/>
    </row>
    <row r="20" spans="1:7" ht="58.5" customHeight="1" x14ac:dyDescent="0.25">
      <c r="A20" s="4" t="s">
        <v>62</v>
      </c>
      <c r="B20" s="31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32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26">
        <f>SUM(C20:C21)</f>
        <v>105</v>
      </c>
      <c r="E22" s="26"/>
      <c r="F22" s="26"/>
      <c r="G22" s="27"/>
    </row>
    <row r="23" spans="1:7" ht="30" customHeight="1" x14ac:dyDescent="0.25">
      <c r="A23" s="4" t="s">
        <v>53</v>
      </c>
      <c r="B23" s="31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32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32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26">
        <f>SUM(C23:C25)</f>
        <v>140</v>
      </c>
      <c r="E26" s="26"/>
      <c r="F26" s="26"/>
      <c r="G26" s="27"/>
    </row>
    <row r="27" spans="1:7" ht="58.5" customHeight="1" x14ac:dyDescent="0.25">
      <c r="A27" s="6" t="s">
        <v>53</v>
      </c>
      <c r="B27" s="31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32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32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26">
        <f>SUM(C27:C29)</f>
        <v>155</v>
      </c>
      <c r="E30" s="26"/>
      <c r="F30" s="26"/>
      <c r="G30" s="27"/>
    </row>
    <row r="31" spans="1:7" ht="18" customHeight="1" x14ac:dyDescent="0.25">
      <c r="A31" s="4" t="s">
        <v>53</v>
      </c>
      <c r="B31" s="31">
        <v>45985</v>
      </c>
      <c r="C31" s="5">
        <v>10</v>
      </c>
      <c r="D31" s="8" t="s">
        <v>76</v>
      </c>
      <c r="E31" s="8" t="s">
        <v>34</v>
      </c>
      <c r="F31" s="23">
        <v>0.55555555555555558</v>
      </c>
      <c r="G31" s="19"/>
    </row>
    <row r="32" spans="1:7" ht="30" customHeight="1" x14ac:dyDescent="0.25">
      <c r="A32" s="6" t="s">
        <v>53</v>
      </c>
      <c r="B32" s="32"/>
      <c r="C32" s="7">
        <v>20</v>
      </c>
      <c r="D32" s="8" t="s">
        <v>77</v>
      </c>
      <c r="E32" s="8" t="s">
        <v>34</v>
      </c>
      <c r="F32" s="23">
        <v>0.56944444444444442</v>
      </c>
      <c r="G32" s="8" t="s">
        <v>78</v>
      </c>
    </row>
    <row r="33" spans="1:7" ht="18" customHeight="1" x14ac:dyDescent="0.25">
      <c r="A33" s="6" t="s">
        <v>53</v>
      </c>
      <c r="B33" s="32"/>
      <c r="C33" s="7">
        <v>30</v>
      </c>
      <c r="D33" s="8" t="s">
        <v>79</v>
      </c>
      <c r="E33" s="8" t="s">
        <v>34</v>
      </c>
      <c r="F33" s="23">
        <v>0.59027777777777779</v>
      </c>
      <c r="G33" s="19"/>
    </row>
    <row r="34" spans="1:7" ht="30" customHeight="1" x14ac:dyDescent="0.25">
      <c r="A34" s="6" t="s">
        <v>53</v>
      </c>
      <c r="B34" s="32"/>
      <c r="C34" s="7">
        <v>15</v>
      </c>
      <c r="D34" s="8" t="s">
        <v>82</v>
      </c>
      <c r="E34" s="8" t="s">
        <v>34</v>
      </c>
      <c r="F34" s="23">
        <v>0.60069444444444442</v>
      </c>
      <c r="G34" s="19"/>
    </row>
    <row r="35" spans="1:7" ht="30" customHeight="1" x14ac:dyDescent="0.25">
      <c r="A35" s="6" t="s">
        <v>53</v>
      </c>
      <c r="B35" s="32"/>
      <c r="C35" s="7">
        <v>10</v>
      </c>
      <c r="D35" s="8" t="s">
        <v>81</v>
      </c>
      <c r="E35" s="8" t="s">
        <v>34</v>
      </c>
      <c r="F35" s="23">
        <v>0.60763888888888895</v>
      </c>
      <c r="G35" s="19"/>
    </row>
    <row r="36" spans="1:7" ht="29.25" customHeight="1" x14ac:dyDescent="0.25">
      <c r="A36" s="6" t="s">
        <v>53</v>
      </c>
      <c r="B36" s="32"/>
      <c r="C36" s="7">
        <v>10</v>
      </c>
      <c r="D36" s="8" t="s">
        <v>80</v>
      </c>
      <c r="E36" s="8" t="s">
        <v>34</v>
      </c>
      <c r="F36" s="23">
        <v>0.61458333333333337</v>
      </c>
      <c r="G36" s="19"/>
    </row>
    <row r="37" spans="1:7" ht="30" customHeight="1" x14ac:dyDescent="0.25">
      <c r="A37" s="6" t="s">
        <v>53</v>
      </c>
      <c r="B37" s="32"/>
      <c r="C37" s="7">
        <v>30</v>
      </c>
      <c r="D37" s="8" t="s">
        <v>86</v>
      </c>
      <c r="E37" s="8" t="s">
        <v>34</v>
      </c>
      <c r="F37" s="23">
        <v>0.64583333333333337</v>
      </c>
      <c r="G37" s="19"/>
    </row>
    <row r="38" spans="1:7" ht="18" customHeight="1" x14ac:dyDescent="0.25">
      <c r="A38" s="6" t="s">
        <v>47</v>
      </c>
      <c r="B38" s="32"/>
      <c r="C38" s="7">
        <v>5</v>
      </c>
      <c r="D38" s="8" t="s">
        <v>87</v>
      </c>
      <c r="E38" s="8" t="s">
        <v>34</v>
      </c>
      <c r="F38" s="23">
        <v>0.64930555555555558</v>
      </c>
      <c r="G38" s="19"/>
    </row>
    <row r="39" spans="1:7" ht="18" customHeight="1" thickBot="1" x14ac:dyDescent="0.3">
      <c r="A39" s="6"/>
      <c r="B39" s="32"/>
      <c r="C39" s="7">
        <v>10</v>
      </c>
      <c r="D39" s="8" t="s">
        <v>88</v>
      </c>
      <c r="E39" s="8" t="s">
        <v>45</v>
      </c>
      <c r="F39" s="23">
        <v>0.65625</v>
      </c>
      <c r="G39" s="8" t="s">
        <v>89</v>
      </c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26">
        <f>SUM(C31:C39)</f>
        <v>140</v>
      </c>
      <c r="E40" s="26"/>
      <c r="F40" s="26"/>
      <c r="G40" s="27"/>
    </row>
    <row r="41" spans="1:7" ht="18" customHeight="1" x14ac:dyDescent="0.25">
      <c r="A41" s="4"/>
      <c r="B41" s="31"/>
      <c r="C41" s="5"/>
      <c r="D41" s="8"/>
      <c r="E41" s="8"/>
      <c r="F41" s="22"/>
      <c r="G41" s="19"/>
    </row>
    <row r="42" spans="1:7" ht="18" customHeight="1" x14ac:dyDescent="0.25">
      <c r="A42" s="6"/>
      <c r="B42" s="32"/>
      <c r="C42" s="7"/>
      <c r="D42" s="8"/>
      <c r="E42" s="8"/>
      <c r="F42" s="22"/>
      <c r="G42" s="19"/>
    </row>
    <row r="43" spans="1:7" ht="18" customHeight="1" x14ac:dyDescent="0.25">
      <c r="A43" s="6"/>
      <c r="B43" s="32"/>
      <c r="C43" s="7"/>
      <c r="D43" s="8"/>
      <c r="E43" s="8"/>
      <c r="F43" s="7"/>
      <c r="G43" s="19"/>
    </row>
    <row r="44" spans="1:7" ht="18" customHeight="1" x14ac:dyDescent="0.25">
      <c r="A44" s="6"/>
      <c r="B44" s="32"/>
      <c r="C44" s="7"/>
      <c r="D44" s="8"/>
      <c r="E44" s="8"/>
      <c r="F44" s="7"/>
      <c r="G44" s="19"/>
    </row>
    <row r="45" spans="1:7" ht="18" customHeight="1" thickBot="1" x14ac:dyDescent="0.3">
      <c r="A45" s="9"/>
      <c r="B45" s="33"/>
      <c r="C45" s="9"/>
      <c r="D45" s="8"/>
      <c r="E45" s="10"/>
      <c r="F45" s="7"/>
      <c r="G45" s="19"/>
    </row>
    <row r="46" spans="1:7" ht="18" customHeight="1" thickBot="1" x14ac:dyDescent="0.3">
      <c r="A46" s="11" t="s">
        <v>12</v>
      </c>
      <c r="B46" s="17" t="s">
        <v>26</v>
      </c>
      <c r="C46" s="17" t="s">
        <v>18</v>
      </c>
      <c r="D46" s="26">
        <f>SUM(C41:C45)</f>
        <v>0</v>
      </c>
      <c r="E46" s="26"/>
      <c r="F46" s="26"/>
      <c r="G46" s="27"/>
    </row>
    <row r="47" spans="1:7" ht="18" customHeight="1" x14ac:dyDescent="0.25">
      <c r="A47" s="4"/>
      <c r="B47" s="31"/>
      <c r="C47" s="5"/>
      <c r="D47" s="8"/>
      <c r="E47" s="8"/>
      <c r="F47" s="22"/>
      <c r="G47" s="19"/>
    </row>
    <row r="48" spans="1:7" ht="18" customHeight="1" x14ac:dyDescent="0.25">
      <c r="A48" s="6"/>
      <c r="B48" s="32"/>
      <c r="C48" s="7"/>
      <c r="D48" s="8"/>
      <c r="E48" s="8"/>
      <c r="F48" s="22"/>
      <c r="G48" s="19"/>
    </row>
    <row r="49" spans="1:7" ht="18" customHeight="1" x14ac:dyDescent="0.25">
      <c r="A49" s="6"/>
      <c r="B49" s="32"/>
      <c r="C49" s="7"/>
      <c r="D49" s="8"/>
      <c r="E49" s="8"/>
      <c r="F49" s="7"/>
      <c r="G49" s="19"/>
    </row>
    <row r="50" spans="1:7" ht="18" customHeight="1" x14ac:dyDescent="0.25">
      <c r="A50" s="6"/>
      <c r="B50" s="32"/>
      <c r="C50" s="7"/>
      <c r="D50" s="8"/>
      <c r="E50" s="8"/>
      <c r="F50" s="7"/>
      <c r="G50" s="19"/>
    </row>
    <row r="51" spans="1:7" ht="18" customHeight="1" thickBot="1" x14ac:dyDescent="0.3">
      <c r="A51" s="9"/>
      <c r="B51" s="33"/>
      <c r="C51" s="9"/>
      <c r="D51" s="8"/>
      <c r="E51" s="10"/>
      <c r="F51" s="7"/>
      <c r="G51" s="19"/>
    </row>
    <row r="52" spans="1:7" ht="18" customHeight="1" thickBot="1" x14ac:dyDescent="0.3">
      <c r="A52" s="11" t="s">
        <v>12</v>
      </c>
      <c r="B52" s="17" t="s">
        <v>83</v>
      </c>
      <c r="C52" s="17" t="s">
        <v>18</v>
      </c>
      <c r="D52" s="26">
        <f>SUM(C47:C51)</f>
        <v>0</v>
      </c>
      <c r="E52" s="26"/>
      <c r="F52" s="26"/>
      <c r="G52" s="27"/>
    </row>
    <row r="53" spans="1:7" ht="18" customHeight="1" x14ac:dyDescent="0.25">
      <c r="A53" s="4"/>
      <c r="B53" s="31"/>
      <c r="C53" s="5"/>
      <c r="D53" s="8"/>
      <c r="E53" s="8"/>
      <c r="F53" s="22"/>
      <c r="G53" s="19"/>
    </row>
    <row r="54" spans="1:7" ht="18" customHeight="1" x14ac:dyDescent="0.25">
      <c r="A54" s="6"/>
      <c r="B54" s="32"/>
      <c r="C54" s="7"/>
      <c r="D54" s="8"/>
      <c r="E54" s="8"/>
      <c r="F54" s="22"/>
      <c r="G54" s="19"/>
    </row>
    <row r="55" spans="1:7" ht="18" customHeight="1" x14ac:dyDescent="0.25">
      <c r="A55" s="6"/>
      <c r="B55" s="32"/>
      <c r="C55" s="7"/>
      <c r="D55" s="8"/>
      <c r="E55" s="8"/>
      <c r="F55" s="7"/>
      <c r="G55" s="19"/>
    </row>
    <row r="56" spans="1:7" ht="18" customHeight="1" x14ac:dyDescent="0.25">
      <c r="A56" s="6"/>
      <c r="B56" s="32"/>
      <c r="C56" s="7"/>
      <c r="D56" s="8"/>
      <c r="E56" s="8"/>
      <c r="F56" s="7"/>
      <c r="G56" s="19"/>
    </row>
    <row r="57" spans="1:7" ht="18" customHeight="1" thickBot="1" x14ac:dyDescent="0.3">
      <c r="A57" s="9"/>
      <c r="B57" s="33"/>
      <c r="C57" s="9"/>
      <c r="D57" s="8"/>
      <c r="E57" s="10"/>
      <c r="F57" s="7"/>
      <c r="G57" s="19"/>
    </row>
    <row r="58" spans="1:7" ht="18" customHeight="1" thickBot="1" x14ac:dyDescent="0.3">
      <c r="A58" s="11" t="s">
        <v>12</v>
      </c>
      <c r="B58" s="17" t="s">
        <v>84</v>
      </c>
      <c r="C58" s="17" t="s">
        <v>18</v>
      </c>
      <c r="D58" s="26">
        <f>SUM(C53:C57)</f>
        <v>0</v>
      </c>
      <c r="E58" s="26"/>
      <c r="F58" s="26"/>
      <c r="G58" s="27"/>
    </row>
    <row r="59" spans="1:7" ht="18" customHeight="1" x14ac:dyDescent="0.25">
      <c r="A59" s="4"/>
      <c r="B59" s="31"/>
      <c r="C59" s="5"/>
      <c r="D59" s="8"/>
      <c r="E59" s="8"/>
      <c r="F59" s="22"/>
      <c r="G59" s="19"/>
    </row>
    <row r="60" spans="1:7" ht="18" customHeight="1" x14ac:dyDescent="0.25">
      <c r="A60" s="6"/>
      <c r="B60" s="32"/>
      <c r="C60" s="7"/>
      <c r="D60" s="8"/>
      <c r="E60" s="8"/>
      <c r="F60" s="22"/>
      <c r="G60" s="19"/>
    </row>
    <row r="61" spans="1:7" ht="18" customHeight="1" x14ac:dyDescent="0.25">
      <c r="A61" s="6"/>
      <c r="B61" s="32"/>
      <c r="C61" s="7"/>
      <c r="D61" s="8"/>
      <c r="E61" s="8"/>
      <c r="F61" s="7"/>
      <c r="G61" s="19"/>
    </row>
    <row r="62" spans="1:7" ht="18" customHeight="1" x14ac:dyDescent="0.25">
      <c r="A62" s="6"/>
      <c r="B62" s="32"/>
      <c r="C62" s="7"/>
      <c r="D62" s="8"/>
      <c r="E62" s="8"/>
      <c r="F62" s="7"/>
      <c r="G62" s="19"/>
    </row>
    <row r="63" spans="1:7" ht="18" customHeight="1" thickBot="1" x14ac:dyDescent="0.3">
      <c r="A63" s="9"/>
      <c r="B63" s="33"/>
      <c r="C63" s="9"/>
      <c r="D63" s="8"/>
      <c r="E63" s="10"/>
      <c r="F63" s="7"/>
      <c r="G63" s="19"/>
    </row>
    <row r="64" spans="1:7" ht="18" customHeight="1" thickBot="1" x14ac:dyDescent="0.3">
      <c r="A64" s="11" t="s">
        <v>12</v>
      </c>
      <c r="B64" s="17" t="s">
        <v>85</v>
      </c>
      <c r="C64" s="17" t="s">
        <v>18</v>
      </c>
      <c r="D64" s="26">
        <f>SUM(C59:C63)</f>
        <v>0</v>
      </c>
      <c r="E64" s="26"/>
      <c r="F64" s="26"/>
      <c r="G64" s="27"/>
    </row>
    <row r="65" spans="1:7" ht="21" customHeight="1" thickBot="1" x14ac:dyDescent="0.3">
      <c r="A65" s="38" t="s">
        <v>13</v>
      </c>
      <c r="B65" s="39"/>
      <c r="C65" s="12">
        <f>MROUND(SUM(C6:C64) /60,0.2)</f>
        <v>16.400000000000002</v>
      </c>
      <c r="D65" s="13"/>
      <c r="E65" s="18"/>
      <c r="F65" s="20"/>
      <c r="G65" s="14"/>
    </row>
    <row r="66" spans="1:7" x14ac:dyDescent="0.25">
      <c r="A66" s="15" t="s">
        <v>14</v>
      </c>
    </row>
    <row r="67" spans="1:7" x14ac:dyDescent="0.25">
      <c r="A67" s="15"/>
    </row>
  </sheetData>
  <mergeCells count="33">
    <mergeCell ref="B20:B21"/>
    <mergeCell ref="B23:B25"/>
    <mergeCell ref="B27:B29"/>
    <mergeCell ref="A65:B65"/>
    <mergeCell ref="B31:B39"/>
    <mergeCell ref="B59:B63"/>
    <mergeCell ref="B53:B57"/>
    <mergeCell ref="B41:B45"/>
    <mergeCell ref="B47:B51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64:G64"/>
    <mergeCell ref="D58:G58"/>
    <mergeCell ref="D46:G46"/>
    <mergeCell ref="D52:G52"/>
  </mergeCells>
  <dataValidations count="2">
    <dataValidation type="whole" operator="greaterThan" allowBlank="1" showInputMessage="1" showErrorMessage="1" errorTitle="Durée par tranche de 10min" error="Le nombre doit être de type entier" sqref="C59:C63 C27:C29 C23:C25 C16:C18 B6 C10:C14 C20:C21 C6:C8 C31:C39 C53:C57 C47:C51 C41:C4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59:B63 B27:B29 B23:B25 B31:B39 B53:B57 B47:B51 B41:B4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5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A59:E63 A65:E1048576 A1:D2 F1:F3 A3 D3 G4:G5 G7:G8 A9:D9 A15:D15 A19:D19 A22:D22 A26:D26 A30:D30 A40:D40 A64:D64 G65:G1048576 A31:E39 A53:E57 A58:D58 A47:E51 A52:D52 A41:E45 A46:D46</xm:sqref>
        </x14:conditionalFormatting>
        <x14:conditionalFormatting xmlns:xm="http://schemas.microsoft.com/office/excel/2006/main">
          <x14:cfRule type="cellIs" priority="34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6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7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E59:E63 E65:E1048576 E31:E39</xm:sqref>
        </x14:conditionalFormatting>
        <x14:conditionalFormatting xmlns:xm="http://schemas.microsoft.com/office/excel/2006/main">
          <x14:cfRule type="containsText" priority="31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29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28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27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26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0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25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 F33:G34</xm:sqref>
        </x14:conditionalFormatting>
        <x14:conditionalFormatting xmlns:xm="http://schemas.microsoft.com/office/excel/2006/main">
          <x14:cfRule type="containsText" priority="24" operator="containsText" id="{2F0F41F7-8C93-48A6-B013-C45F8E29AE34}">
            <xm:f>NOT(ISERROR(SEARCH(Restrictions!$B$1,F59)))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F59:G63</xm:sqref>
        </x14:conditionalFormatting>
        <x14:conditionalFormatting xmlns:xm="http://schemas.microsoft.com/office/excel/2006/main">
          <x14:cfRule type="cellIs" priority="23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2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1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20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19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18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17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16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ontainsText" priority="15" operator="containsText" id="{024A5688-302F-4ECA-A486-E8593BFA07A5}">
            <xm:f>NOT(ISERROR(SEARCH(Restrictions!$B$1,F35)))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F35:G37</xm:sqref>
        </x14:conditionalFormatting>
        <x14:conditionalFormatting xmlns:xm="http://schemas.microsoft.com/office/excel/2006/main">
          <x14:cfRule type="containsText" priority="14" operator="containsText" id="{F174B00B-9E6F-49FA-9EE7-95FA16CF0425}">
            <xm:f>NOT(ISERROR(SEARCH(Restrictions!$B$1,F38)))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F38:G38 F39</xm:sqref>
        </x14:conditionalFormatting>
        <x14:conditionalFormatting xmlns:xm="http://schemas.microsoft.com/office/excel/2006/main">
          <x14:cfRule type="cellIs" priority="11" operator="equal" id="{1078C977-9C97-4C62-9B51-0ACFCEFF16B7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2" operator="equal" id="{C8F44381-9E3F-41A8-B780-789FB71729B2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3" operator="equal" id="{8B954690-3338-4C9D-94AB-D077188DE2BD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E53:E57</xm:sqref>
        </x14:conditionalFormatting>
        <x14:conditionalFormatting xmlns:xm="http://schemas.microsoft.com/office/excel/2006/main">
          <x14:cfRule type="containsText" priority="10" operator="containsText" id="{A9768957-7C49-4EEE-AEFF-F52C90BA7D29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F53:G57</xm:sqref>
        </x14:conditionalFormatting>
        <x14:conditionalFormatting xmlns:xm="http://schemas.microsoft.com/office/excel/2006/main">
          <x14:cfRule type="cellIs" priority="7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9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E47:E51</xm:sqref>
        </x14:conditionalFormatting>
        <x14:conditionalFormatting xmlns:xm="http://schemas.microsoft.com/office/excel/2006/main">
          <x14:cfRule type="containsText" priority="6" operator="containsText" id="{58D84678-3AF3-4F30-A017-BCF30ADC23B9}">
            <xm:f>NOT(ISERROR(SEARCH(Restrictions!$B$1,F47)))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F47:G51</xm:sqref>
        </x14:conditionalFormatting>
        <x14:conditionalFormatting xmlns:xm="http://schemas.microsoft.com/office/excel/2006/main">
          <x14:cfRule type="cellIs" priority="3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E41:E45</xm:sqref>
        </x14:conditionalFormatting>
        <x14:conditionalFormatting xmlns:xm="http://schemas.microsoft.com/office/excel/2006/main">
          <x14:cfRule type="containsText" priority="2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F41:G45</xm:sqref>
        </x14:conditionalFormatting>
        <x14:conditionalFormatting xmlns:xm="http://schemas.microsoft.com/office/excel/2006/main">
          <x14:cfRule type="cellIs" priority="1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E65:E1048576 E27:E29 E23:E25 E59:E63 E31:E39 E53:E57 E47:E51 E41:E45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2025-11-24T14:40:28Z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