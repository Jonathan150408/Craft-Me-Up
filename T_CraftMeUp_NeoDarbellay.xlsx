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CraftMeUp\Craft-Me-Up\"/>
    </mc:Choice>
  </mc:AlternateContent>
  <xr:revisionPtr revIDLastSave="0" documentId="13_ncr:1_{8A7A51EA-2641-485E-B2ED-30FBC6DDA6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Journal!$A$1:$G$109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102" i="18"/>
  <c r="D90" i="18"/>
  <c r="D85" i="18"/>
  <c r="D64" i="18"/>
  <c r="D59" i="18"/>
  <c r="D56" i="18"/>
  <c r="D70" i="18"/>
  <c r="D75" i="18"/>
  <c r="D45" i="18"/>
  <c r="D43" i="18"/>
  <c r="D52" i="18"/>
  <c r="D108" i="18"/>
  <c r="D40" i="18"/>
  <c r="D30" i="18"/>
  <c r="D26" i="18"/>
  <c r="D22" i="18"/>
  <c r="D19" i="18"/>
  <c r="D15" i="18"/>
  <c r="D9" i="18"/>
  <c r="C109" i="18" l="1"/>
</calcChain>
</file>

<file path=xl/sharedStrings.xml><?xml version="1.0" encoding="utf-8"?>
<sst xmlns="http://schemas.openxmlformats.org/spreadsheetml/2006/main" count="321" uniqueCount="151">
  <si>
    <t>Experts </t>
  </si>
  <si>
    <t>-</t>
  </si>
  <si>
    <t>Dates</t>
  </si>
  <si>
    <t>Néo Darbellay</t>
  </si>
  <si>
    <t>CID2A/GRP2C</t>
  </si>
  <si>
    <t>56p</t>
  </si>
  <si>
    <t>Craft Me Up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</si>
  <si>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</si>
  <si>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</si>
  <si>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</si>
  <si>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</si>
  <si>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</si>
  <si>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</si>
  <si>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</si>
  <si>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</si>
  <si>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</si>
  <si>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</si>
  <si>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</si>
  <si>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</si>
  <si>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</si>
  <si>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</si>
  <si>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</si>
  <si>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</si>
  <si>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</si>
  <si>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</si>
  <si>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</si>
  <si>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</si>
  <si>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</si>
  <si>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</si>
  <si>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</si>
  <si>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</si>
  <si>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</si>
  <si>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</si>
  <si>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</si>
  <si>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</si>
  <si>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</si>
  <si>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</si>
  <si>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</si>
  <si>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</si>
  <si>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</si>
  <si>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</si>
  <si>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</si>
  <si>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</si>
  <si>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</si>
  <si>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</si>
  <si>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</si>
  <si>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</si>
  <si>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</si>
  <si>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</si>
  <si>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</si>
  <si>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</si>
  <si>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</si>
  <si>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</si>
  <si>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</si>
  <si>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</si>
  <si>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</si>
  <si>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</si>
  <si>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</si>
  <si>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</si>
  <si>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</si>
  <si>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</si>
  <si>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</si>
  <si>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</si>
  <si>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</si>
  <si>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</si>
  <si>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</si>
  <si>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</si>
  <si>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</si>
  <si>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</si>
  <si>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</si>
  <si>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</si>
  <si>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</si>
  <si>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</si>
  <si>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</si>
  <si>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</si>
  <si>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</si>
  <si>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</si>
  <si>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</si>
  <si>
    <t>Since we upgraded the project to .NET 10.0, we had to upgrade VS2022 to VS2026</t>
  </si>
  <si>
    <t>I also optimized the code, so that enemies only store one lastCooldown variable in case they can shoot</t>
  </si>
  <si>
    <t>Creating new boss types</t>
  </si>
  <si>
    <t>Downloading VS2026 on the current PC</t>
  </si>
  <si>
    <t>Apprentice</t>
  </si>
  <si>
    <t>Class/Group</t>
  </si>
  <si>
    <t>Project Manager(s)</t>
  </si>
  <si>
    <t>Subject</t>
  </si>
  <si>
    <t>Total duration (in periods of 45 minutes)</t>
  </si>
  <si>
    <t>Bubble / Domain / Module</t>
  </si>
  <si>
    <t>Task</t>
  </si>
  <si>
    <t>Durations</t>
  </si>
  <si>
    <t>States</t>
  </si>
  <si>
    <t>End time</t>
  </si>
  <si>
    <t>Sources, links, references, commits …</t>
  </si>
  <si>
    <t>Day 1</t>
  </si>
  <si>
    <t>Total duration:</t>
  </si>
  <si>
    <t>Daily review: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</si>
  <si>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</si>
  <si>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</si>
  <si>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</si>
  <si>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</si>
  <si>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</si>
  <si>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</si>
  <si>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</si>
  <si>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</si>
  <si>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</si>
  <si>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</si>
  <si>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</si>
  <si>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</si>
  <si>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</si>
  <si>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</si>
  <si>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</si>
  <si>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Total time spent (in hours)</t>
  </si>
  <si>
    <t>This too longer than expected, as I had some issues getting the right permissions and had to make a virtual machine instead</t>
  </si>
  <si>
    <t>Downloading VS2026 on a VM</t>
  </si>
  <si>
    <t>Making some bosses ignore obstacles</t>
  </si>
  <si>
    <t>Fixing the pause button issues</t>
  </si>
  <si>
    <t>I also implemented DeltaTime movement</t>
  </si>
  <si>
    <t>Fixing some technical issues</t>
  </si>
  <si>
    <t>Adding sprites to the new boss types and making them work</t>
  </si>
  <si>
    <t>Reviewing the code</t>
  </si>
  <si>
    <t>Adding heart sprites to the game</t>
  </si>
  <si>
    <t>Fixing issues regarding enemy spawning and enemy shooting</t>
  </si>
  <si>
    <t>Making the skeletons smarter</t>
  </si>
  <si>
    <t>https://github.com/Jonathan150408/Craft-Me-Up/issues/7</t>
  </si>
  <si>
    <t>Implementing the pseudo-random map</t>
  </si>
  <si>
    <t>I made it so that isntead of being a grid of 8x8 chunks of 8x8 tiles, it's 16x16 chunks of 16x16 tiles, as that looked better</t>
  </si>
  <si>
    <t>Writing 2 new issues (#9 and #10)</t>
  </si>
  <si>
    <t>Implementing game window scale</t>
  </si>
  <si>
    <t>Working on the biomes</t>
  </si>
  <si>
    <t>S. Oliveira, G. Bianco and G Charmier</t>
  </si>
  <si>
    <t>Fixing an issue with camera clamping causing an error</t>
  </si>
  <si>
    <t>There are some issues to fix with zooming out causing lag, but that will be fixed later</t>
  </si>
  <si>
    <t>Implementing the settings</t>
  </si>
  <si>
    <t>Fixing the main menu scale</t>
  </si>
  <si>
    <t>Making the settings save</t>
  </si>
  <si>
    <t>So far, only GAMESPEED has a setting, but that'll change later on.</t>
  </si>
  <si>
    <t>Fixing some render-based lag</t>
  </si>
  <si>
    <t>Changing how biomes render</t>
  </si>
  <si>
    <t>Day 17</t>
  </si>
  <si>
    <t>Adding a setting to update the chunk amount</t>
  </si>
  <si>
    <t>Finished a test early, so I worked on this</t>
  </si>
  <si>
    <t>Day 18</t>
  </si>
  <si>
    <t>Fixed obstacle generation</t>
  </si>
  <si>
    <t>Fixed multiple small issues</t>
  </si>
  <si>
    <t>Issues such as render order and conditional logic failing</t>
  </si>
  <si>
    <t>Changed how enemy health renders</t>
  </si>
  <si>
    <t>Changed how player stats render</t>
  </si>
  <si>
    <t>Fixed some rendering issues</t>
  </si>
  <si>
    <t>Day 19</t>
  </si>
  <si>
    <t>Day 20</t>
  </si>
  <si>
    <t>Reduced rendering lag as much as I could for today
You can now start the game with 128x128 chunks, but it is incredibly laggy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</si>
</sst>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  <font>
      <sz val="8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4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5" fillId="2" borderId="5" xfId="0" applyFont="1" applyFill="1" applyBorder="1" applyAlignment="1">
      <alignment horizontal="center" vertical="center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7" fillId="0" borderId="5" xfId="0" applyFont="1" applyBorder="1" applyAlignment="1">
      <alignment horizontal="left" vertical="center" wrapText="1" indent="1"/>
    </xf>
    <xf numFmtId="0" fontId="7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83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Jonathan150408/Craft-Me-Up/issues/7" TargetMode="External"/><Relationship Id="rId1" Type="http://schemas.openxmlformats.org/officeDocument/2006/relationships/hyperlink" Target="https://github.com/Jonathan150408/Craft-Me-Up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111"/>
  <sheetViews>
    <sheetView tabSelected="1" view="pageBreakPreview" zoomScaleNormal="100" zoomScaleSheetLayoutView="100" workbookViewId="0">
      <pane xSplit="3" ySplit="5" topLeftCell="D77" activePane="bottomRight" state="frozen"/>
      <selection pane="topRight" activeCell="D1" sqref="D1"/>
      <selection pane="bottomLeft" activeCell="A2" sqref="A2"/>
      <selection pane="bottomRight" activeCell="F89" sqref="F89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82</v>
      </c>
      <c r="B1" s="33" t="s">
        <v>3</v>
      </c>
      <c r="C1" s="35"/>
      <c r="D1" s="38" t="s">
        <v>86</v>
      </c>
      <c r="E1" s="39"/>
      <c r="F1" s="36" t="s">
        <v>5</v>
      </c>
      <c r="G1" s="37"/>
    </row>
    <row r="2" spans="1:7" ht="21" customHeight="1" thickBot="1" x14ac:dyDescent="0.3">
      <c r="A2" s="16" t="s">
        <v>83</v>
      </c>
      <c r="B2" s="33" t="s">
        <v>4</v>
      </c>
      <c r="C2" s="35"/>
      <c r="D2" s="38" t="s">
        <v>0</v>
      </c>
      <c r="E2" s="39"/>
      <c r="F2" s="36" t="s">
        <v>1</v>
      </c>
      <c r="G2" s="37"/>
    </row>
    <row r="3" spans="1:7" ht="21" customHeight="1" thickBot="1" x14ac:dyDescent="0.3">
      <c r="A3" s="16" t="s">
        <v>84</v>
      </c>
      <c r="B3" s="40" t="s">
        <v>129</v>
      </c>
      <c r="C3" s="41"/>
      <c r="D3" s="38" t="s">
        <v>87</v>
      </c>
      <c r="E3" s="39"/>
      <c r="F3" s="33" t="s">
        <v>13</v>
      </c>
      <c r="G3" s="35"/>
    </row>
    <row r="4" spans="1:7" ht="21" customHeight="1" thickBot="1" x14ac:dyDescent="0.3">
      <c r="A4" s="16" t="s">
        <v>85</v>
      </c>
      <c r="B4" s="33" t="s">
        <v>6</v>
      </c>
      <c r="C4" s="34"/>
      <c r="D4" s="34"/>
      <c r="E4" s="34"/>
      <c r="F4" s="34"/>
      <c r="G4" s="35"/>
    </row>
    <row r="5" spans="1:7" ht="21" customHeight="1" thickBot="1" x14ac:dyDescent="0.3">
      <c r="A5" s="2" t="s">
        <v>88</v>
      </c>
      <c r="B5" s="3" t="s">
        <v>2</v>
      </c>
      <c r="C5" s="27" t="s">
        <v>89</v>
      </c>
      <c r="D5" s="2" t="s">
        <v>17</v>
      </c>
      <c r="E5" s="2" t="s">
        <v>90</v>
      </c>
      <c r="F5" s="2" t="s">
        <v>91</v>
      </c>
      <c r="G5" s="2" t="s">
        <v>92</v>
      </c>
    </row>
    <row r="6" spans="1:7" ht="18" customHeight="1" x14ac:dyDescent="0.2">
      <c r="A6" s="4" t="s">
        <v>8</v>
      </c>
      <c r="B6" s="28">
        <v>45964</v>
      </c>
      <c r="C6" s="5">
        <v>30</v>
      </c>
      <c r="D6" s="8" t="s">
        <v>7</v>
      </c>
      <c r="E6" s="8" t="s">
        <v>9</v>
      </c>
      <c r="F6" s="23">
        <v>0.59027777777777779</v>
      </c>
      <c r="G6" s="24" t="s">
        <v>12</v>
      </c>
    </row>
    <row r="7" spans="1:7" ht="18" customHeight="1" x14ac:dyDescent="0.25">
      <c r="A7" s="6" t="s">
        <v>17</v>
      </c>
      <c r="B7" s="29"/>
      <c r="C7" s="7">
        <v>35</v>
      </c>
      <c r="D7" s="8" t="s">
        <v>16</v>
      </c>
      <c r="E7" s="8" t="s">
        <v>9</v>
      </c>
      <c r="F7" s="23">
        <v>0.61458333333333337</v>
      </c>
      <c r="G7" s="19"/>
    </row>
    <row r="8" spans="1:7" ht="18" customHeight="1" thickBot="1" x14ac:dyDescent="0.3">
      <c r="A8" s="6" t="s">
        <v>14</v>
      </c>
      <c r="B8" s="29"/>
      <c r="C8" s="7">
        <v>60</v>
      </c>
      <c r="D8" s="8" t="s">
        <v>15</v>
      </c>
      <c r="E8" s="8" t="s">
        <v>20</v>
      </c>
      <c r="F8" s="23">
        <v>0.65625</v>
      </c>
      <c r="G8" s="8" t="s">
        <v>18</v>
      </c>
    </row>
    <row r="9" spans="1:7" ht="18" customHeight="1" thickBot="1" x14ac:dyDescent="0.3">
      <c r="A9" s="11" t="s">
        <v>95</v>
      </c>
      <c r="B9" s="17" t="s">
        <v>93</v>
      </c>
      <c r="C9" s="17" t="s">
        <v>94</v>
      </c>
      <c r="D9" s="31">
        <f>SUM(C6:C8)</f>
        <v>125</v>
      </c>
      <c r="E9" s="31"/>
      <c r="F9" s="31"/>
      <c r="G9" s="32"/>
    </row>
    <row r="10" spans="1:7" ht="18" customHeight="1" x14ac:dyDescent="0.25">
      <c r="A10" s="4" t="s">
        <v>14</v>
      </c>
      <c r="B10" s="28">
        <v>45965</v>
      </c>
      <c r="C10" s="5">
        <v>30</v>
      </c>
      <c r="D10" s="8" t="s">
        <v>19</v>
      </c>
      <c r="E10" s="8" t="s">
        <v>9</v>
      </c>
      <c r="F10" s="23">
        <v>0.36458333333333331</v>
      </c>
      <c r="G10" s="19"/>
    </row>
    <row r="11" spans="1:7" ht="30" customHeight="1" x14ac:dyDescent="0.25">
      <c r="A11" s="6" t="s">
        <v>21</v>
      </c>
      <c r="B11" s="29"/>
      <c r="C11" s="7">
        <v>50</v>
      </c>
      <c r="D11" s="8" t="s">
        <v>32</v>
      </c>
      <c r="E11" s="8" t="s">
        <v>9</v>
      </c>
      <c r="F11" s="23">
        <v>0.39930555555555558</v>
      </c>
      <c r="G11" s="8" t="s">
        <v>23</v>
      </c>
    </row>
    <row r="12" spans="1:7" ht="30" customHeight="1" x14ac:dyDescent="0.25">
      <c r="A12" s="6" t="s">
        <v>22</v>
      </c>
      <c r="B12" s="29"/>
      <c r="C12" s="7">
        <v>25</v>
      </c>
      <c r="D12" s="8" t="s">
        <v>26</v>
      </c>
      <c r="E12" s="8" t="s">
        <v>9</v>
      </c>
      <c r="F12" s="23">
        <v>0.42708333333333331</v>
      </c>
      <c r="G12" s="8" t="s">
        <v>24</v>
      </c>
    </row>
    <row r="13" spans="1:7" ht="18" customHeight="1" x14ac:dyDescent="0.25">
      <c r="A13" s="6" t="s">
        <v>25</v>
      </c>
      <c r="B13" s="29"/>
      <c r="C13" s="7">
        <v>35</v>
      </c>
      <c r="D13" s="8" t="s">
        <v>27</v>
      </c>
      <c r="E13" s="8" t="s">
        <v>9</v>
      </c>
      <c r="F13" s="23">
        <v>0.4513888888888889</v>
      </c>
      <c r="G13" s="19"/>
    </row>
    <row r="14" spans="1:7" ht="18" customHeight="1" thickBot="1" x14ac:dyDescent="0.3">
      <c r="A14" s="9" t="s">
        <v>28</v>
      </c>
      <c r="B14" s="30"/>
      <c r="C14" s="9">
        <v>35</v>
      </c>
      <c r="D14" s="8" t="s">
        <v>29</v>
      </c>
      <c r="E14" s="10" t="s">
        <v>20</v>
      </c>
      <c r="F14" s="23">
        <v>0.47569444444444442</v>
      </c>
      <c r="G14" s="8" t="s">
        <v>18</v>
      </c>
    </row>
    <row r="15" spans="1:7" ht="18" customHeight="1" thickBot="1" x14ac:dyDescent="0.3">
      <c r="A15" s="11" t="s">
        <v>95</v>
      </c>
      <c r="B15" s="17" t="s">
        <v>96</v>
      </c>
      <c r="C15" s="17" t="s">
        <v>94</v>
      </c>
      <c r="D15" s="31">
        <f>SUM(C10:C14)</f>
        <v>175</v>
      </c>
      <c r="E15" s="31"/>
      <c r="F15" s="31"/>
      <c r="G15" s="32"/>
    </row>
    <row r="16" spans="1:7" ht="18" customHeight="1" x14ac:dyDescent="0.25">
      <c r="A16" s="4" t="s">
        <v>31</v>
      </c>
      <c r="B16" s="28">
        <v>45971</v>
      </c>
      <c r="C16" s="5">
        <v>45</v>
      </c>
      <c r="D16" s="8" t="s">
        <v>30</v>
      </c>
      <c r="E16" s="8" t="s">
        <v>9</v>
      </c>
      <c r="F16" s="23">
        <v>0.57986111111111105</v>
      </c>
      <c r="G16" s="8" t="s">
        <v>33</v>
      </c>
    </row>
    <row r="17" spans="1:7" ht="30" customHeight="1" x14ac:dyDescent="0.25">
      <c r="A17" s="6" t="s">
        <v>22</v>
      </c>
      <c r="B17" s="29"/>
      <c r="C17" s="7">
        <v>55</v>
      </c>
      <c r="D17" s="8" t="s">
        <v>34</v>
      </c>
      <c r="E17" s="8" t="s">
        <v>9</v>
      </c>
      <c r="F17" s="25">
        <v>0.63194444444444442</v>
      </c>
      <c r="G17" s="8" t="s">
        <v>35</v>
      </c>
    </row>
    <row r="18" spans="1:7" ht="30" customHeight="1" thickBot="1" x14ac:dyDescent="0.3">
      <c r="A18" s="6" t="s">
        <v>28</v>
      </c>
      <c r="B18" s="29"/>
      <c r="C18" s="7">
        <v>45</v>
      </c>
      <c r="D18" s="8" t="s">
        <v>36</v>
      </c>
      <c r="E18" s="8" t="s">
        <v>9</v>
      </c>
      <c r="F18" s="23">
        <v>0.66319444444444442</v>
      </c>
      <c r="G18" s="8" t="s">
        <v>38</v>
      </c>
    </row>
    <row r="19" spans="1:7" ht="18" customHeight="1" thickBot="1" x14ac:dyDescent="0.3">
      <c r="A19" s="11" t="s">
        <v>95</v>
      </c>
      <c r="B19" s="17" t="s">
        <v>97</v>
      </c>
      <c r="C19" s="17" t="s">
        <v>94</v>
      </c>
      <c r="D19" s="31">
        <f>SUM(C16:C18)</f>
        <v>145</v>
      </c>
      <c r="E19" s="31"/>
      <c r="F19" s="31"/>
      <c r="G19" s="32"/>
    </row>
    <row r="20" spans="1:7" ht="58.5" customHeight="1" x14ac:dyDescent="0.25">
      <c r="A20" s="4" t="s">
        <v>37</v>
      </c>
      <c r="B20" s="28">
        <v>45972</v>
      </c>
      <c r="C20" s="5"/>
      <c r="D20" s="8" t="s">
        <v>39</v>
      </c>
      <c r="E20" s="8" t="s">
        <v>9</v>
      </c>
      <c r="F20" s="23">
        <v>0.3923611111111111</v>
      </c>
      <c r="G20" s="8" t="s">
        <v>40</v>
      </c>
    </row>
    <row r="21" spans="1:7" ht="18" customHeight="1" thickBot="1" x14ac:dyDescent="0.3">
      <c r="A21" s="6" t="s">
        <v>28</v>
      </c>
      <c r="B21" s="29"/>
      <c r="C21" s="7">
        <v>105</v>
      </c>
      <c r="D21" s="8" t="s">
        <v>36</v>
      </c>
      <c r="E21" s="8" t="s">
        <v>9</v>
      </c>
      <c r="F21" s="25">
        <v>0.47569444444444442</v>
      </c>
      <c r="G21" s="8" t="s">
        <v>41</v>
      </c>
    </row>
    <row r="22" spans="1:7" ht="18" customHeight="1" thickBot="1" x14ac:dyDescent="0.3">
      <c r="A22" s="11" t="s">
        <v>95</v>
      </c>
      <c r="B22" s="17" t="s">
        <v>98</v>
      </c>
      <c r="C22" s="17" t="s">
        <v>94</v>
      </c>
      <c r="D22" s="31">
        <f>SUM(C20:C21)</f>
        <v>105</v>
      </c>
      <c r="E22" s="31"/>
      <c r="F22" s="31"/>
      <c r="G22" s="32"/>
    </row>
    <row r="23" spans="1:7" ht="30" customHeight="1" x14ac:dyDescent="0.25">
      <c r="A23" s="4" t="s">
        <v>28</v>
      </c>
      <c r="B23" s="28">
        <v>45978</v>
      </c>
      <c r="C23" s="5">
        <v>105</v>
      </c>
      <c r="D23" s="8" t="s">
        <v>36</v>
      </c>
      <c r="E23" s="8" t="s">
        <v>9</v>
      </c>
      <c r="F23" s="23">
        <v>0.63194444444444442</v>
      </c>
      <c r="G23" s="8" t="s">
        <v>42</v>
      </c>
    </row>
    <row r="24" spans="1:7" ht="30" customHeight="1" x14ac:dyDescent="0.25">
      <c r="A24" s="6" t="s">
        <v>28</v>
      </c>
      <c r="B24" s="29"/>
      <c r="C24" s="7">
        <v>10</v>
      </c>
      <c r="D24" s="8" t="s">
        <v>43</v>
      </c>
      <c r="E24" s="8" t="s">
        <v>9</v>
      </c>
      <c r="F24" s="23">
        <v>0.63888888888888895</v>
      </c>
      <c r="G24" s="19"/>
    </row>
    <row r="25" spans="1:7" ht="18" customHeight="1" thickBot="1" x14ac:dyDescent="0.3">
      <c r="A25" s="9" t="s">
        <v>28</v>
      </c>
      <c r="B25" s="29"/>
      <c r="C25" s="9">
        <v>25</v>
      </c>
      <c r="D25" s="8" t="s">
        <v>44</v>
      </c>
      <c r="E25" s="10" t="s">
        <v>9</v>
      </c>
      <c r="F25" s="23">
        <v>0.65625</v>
      </c>
      <c r="G25" s="8" t="s">
        <v>45</v>
      </c>
    </row>
    <row r="26" spans="1:7" ht="18" customHeight="1" thickBot="1" x14ac:dyDescent="0.3">
      <c r="A26" s="11" t="s">
        <v>95</v>
      </c>
      <c r="B26" s="17" t="s">
        <v>99</v>
      </c>
      <c r="C26" s="17" t="s">
        <v>94</v>
      </c>
      <c r="D26" s="31">
        <f>SUM(C23:C25)</f>
        <v>140</v>
      </c>
      <c r="E26" s="31"/>
      <c r="F26" s="31"/>
      <c r="G26" s="32"/>
    </row>
    <row r="27" spans="1:7" ht="58.5" customHeight="1" x14ac:dyDescent="0.25">
      <c r="A27" s="6" t="s">
        <v>28</v>
      </c>
      <c r="B27" s="28">
        <v>45979</v>
      </c>
      <c r="C27" s="5">
        <v>100</v>
      </c>
      <c r="D27" s="8" t="s">
        <v>46</v>
      </c>
      <c r="E27" s="8" t="s">
        <v>9</v>
      </c>
      <c r="F27" s="23">
        <v>0.4375</v>
      </c>
      <c r="G27" s="8" t="s">
        <v>48</v>
      </c>
    </row>
    <row r="28" spans="1:7" ht="30" customHeight="1" x14ac:dyDescent="0.25">
      <c r="A28" s="6" t="s">
        <v>28</v>
      </c>
      <c r="B28" s="29"/>
      <c r="C28" s="7">
        <v>45</v>
      </c>
      <c r="D28" s="8" t="s">
        <v>47</v>
      </c>
      <c r="E28" s="8" t="s">
        <v>9</v>
      </c>
      <c r="F28" s="23">
        <v>0.46875</v>
      </c>
      <c r="G28" s="8" t="s">
        <v>49</v>
      </c>
    </row>
    <row r="29" spans="1:7" ht="30" customHeight="1" thickBot="1" x14ac:dyDescent="0.3">
      <c r="A29" s="6" t="s">
        <v>28</v>
      </c>
      <c r="B29" s="29"/>
      <c r="C29" s="7">
        <v>10</v>
      </c>
      <c r="D29" s="8" t="s">
        <v>50</v>
      </c>
      <c r="E29" s="8" t="s">
        <v>9</v>
      </c>
      <c r="F29" s="23">
        <v>0.47569444444444442</v>
      </c>
      <c r="G29" s="19"/>
    </row>
    <row r="30" spans="1:7" ht="18" customHeight="1" thickBot="1" x14ac:dyDescent="0.3">
      <c r="A30" s="11" t="s">
        <v>95</v>
      </c>
      <c r="B30" s="17" t="s">
        <v>100</v>
      </c>
      <c r="C30" s="17" t="s">
        <v>94</v>
      </c>
      <c r="D30" s="31">
        <f>SUM(C27:C29)</f>
        <v>155</v>
      </c>
      <c r="E30" s="31"/>
      <c r="F30" s="31"/>
      <c r="G30" s="32"/>
    </row>
    <row r="31" spans="1:7" ht="18" customHeight="1" x14ac:dyDescent="0.25">
      <c r="A31" s="4" t="s">
        <v>28</v>
      </c>
      <c r="B31" s="28">
        <v>45985</v>
      </c>
      <c r="C31" s="5">
        <v>10</v>
      </c>
      <c r="D31" s="8" t="s">
        <v>51</v>
      </c>
      <c r="E31" s="8" t="s">
        <v>9</v>
      </c>
      <c r="F31" s="23">
        <v>0.55555555555555558</v>
      </c>
      <c r="G31" s="19"/>
    </row>
    <row r="32" spans="1:7" ht="30" customHeight="1" x14ac:dyDescent="0.25">
      <c r="A32" s="6" t="s">
        <v>28</v>
      </c>
      <c r="B32" s="29"/>
      <c r="C32" s="7">
        <v>20</v>
      </c>
      <c r="D32" s="8" t="s">
        <v>52</v>
      </c>
      <c r="E32" s="8" t="s">
        <v>9</v>
      </c>
      <c r="F32" s="23">
        <v>0.56944444444444442</v>
      </c>
      <c r="G32" s="8" t="s">
        <v>53</v>
      </c>
    </row>
    <row r="33" spans="1:7" ht="18" customHeight="1" x14ac:dyDescent="0.25">
      <c r="A33" s="6" t="s">
        <v>28</v>
      </c>
      <c r="B33" s="29"/>
      <c r="C33" s="7">
        <v>30</v>
      </c>
      <c r="D33" s="8" t="s">
        <v>54</v>
      </c>
      <c r="E33" s="8" t="s">
        <v>9</v>
      </c>
      <c r="F33" s="23">
        <v>0.59027777777777779</v>
      </c>
      <c r="G33" s="19"/>
    </row>
    <row r="34" spans="1:7" ht="30" customHeight="1" x14ac:dyDescent="0.25">
      <c r="A34" s="6" t="s">
        <v>28</v>
      </c>
      <c r="B34" s="29"/>
      <c r="C34" s="7">
        <v>15</v>
      </c>
      <c r="D34" s="8" t="s">
        <v>57</v>
      </c>
      <c r="E34" s="8" t="s">
        <v>9</v>
      </c>
      <c r="F34" s="23">
        <v>0.60069444444444442</v>
      </c>
      <c r="G34" s="19"/>
    </row>
    <row r="35" spans="1:7" ht="30" customHeight="1" x14ac:dyDescent="0.25">
      <c r="A35" s="6" t="s">
        <v>28</v>
      </c>
      <c r="B35" s="29"/>
      <c r="C35" s="7">
        <v>10</v>
      </c>
      <c r="D35" s="8" t="s">
        <v>56</v>
      </c>
      <c r="E35" s="8" t="s">
        <v>9</v>
      </c>
      <c r="F35" s="23">
        <v>0.60763888888888895</v>
      </c>
      <c r="G35" s="19"/>
    </row>
    <row r="36" spans="1:7" ht="29.25" customHeight="1" x14ac:dyDescent="0.25">
      <c r="A36" s="6" t="s">
        <v>28</v>
      </c>
      <c r="B36" s="29"/>
      <c r="C36" s="7">
        <v>10</v>
      </c>
      <c r="D36" s="8" t="s">
        <v>55</v>
      </c>
      <c r="E36" s="8" t="s">
        <v>9</v>
      </c>
      <c r="F36" s="23">
        <v>0.61458333333333337</v>
      </c>
      <c r="G36" s="19"/>
    </row>
    <row r="37" spans="1:7" ht="30" customHeight="1" x14ac:dyDescent="0.25">
      <c r="A37" s="6" t="s">
        <v>28</v>
      </c>
      <c r="B37" s="29"/>
      <c r="C37" s="7">
        <v>30</v>
      </c>
      <c r="D37" s="8" t="s">
        <v>58</v>
      </c>
      <c r="E37" s="8" t="s">
        <v>9</v>
      </c>
      <c r="F37" s="23">
        <v>0.64583333333333337</v>
      </c>
      <c r="G37" s="19"/>
    </row>
    <row r="38" spans="1:7" ht="18" customHeight="1" x14ac:dyDescent="0.25">
      <c r="A38" s="6" t="s">
        <v>22</v>
      </c>
      <c r="B38" s="29"/>
      <c r="C38" s="7">
        <v>5</v>
      </c>
      <c r="D38" s="8" t="s">
        <v>59</v>
      </c>
      <c r="E38" s="8" t="s">
        <v>9</v>
      </c>
      <c r="F38" s="23">
        <v>0.64930555555555558</v>
      </c>
      <c r="G38" s="19"/>
    </row>
    <row r="39" spans="1:7" ht="18" customHeight="1" thickBot="1" x14ac:dyDescent="0.3">
      <c r="A39" s="6" t="s">
        <v>25</v>
      </c>
      <c r="B39" s="29"/>
      <c r="C39" s="7">
        <v>10</v>
      </c>
      <c r="D39" s="8" t="s">
        <v>60</v>
      </c>
      <c r="E39" s="8" t="s">
        <v>20</v>
      </c>
      <c r="F39" s="23">
        <v>0.65625</v>
      </c>
      <c r="G39" s="8" t="s">
        <v>61</v>
      </c>
    </row>
    <row r="40" spans="1:7" ht="18" customHeight="1" thickBot="1" x14ac:dyDescent="0.3">
      <c r="A40" s="11" t="s">
        <v>95</v>
      </c>
      <c r="B40" s="17" t="s">
        <v>101</v>
      </c>
      <c r="C40" s="17" t="s">
        <v>94</v>
      </c>
      <c r="D40" s="31">
        <f>SUM(C31:C39)</f>
        <v>140</v>
      </c>
      <c r="E40" s="31"/>
      <c r="F40" s="31"/>
      <c r="G40" s="32"/>
    </row>
    <row r="41" spans="1:7" ht="18" customHeight="1" x14ac:dyDescent="0.25">
      <c r="A41" s="4" t="s">
        <v>25</v>
      </c>
      <c r="B41" s="28">
        <v>45986</v>
      </c>
      <c r="C41" s="5">
        <v>15</v>
      </c>
      <c r="D41" s="8" t="s">
        <v>62</v>
      </c>
      <c r="E41" s="8" t="s">
        <v>9</v>
      </c>
      <c r="F41" s="23">
        <v>0.34375</v>
      </c>
      <c r="G41" s="19"/>
    </row>
    <row r="42" spans="1:7" ht="48" customHeight="1" thickBot="1" x14ac:dyDescent="0.3">
      <c r="A42" s="6" t="s">
        <v>28</v>
      </c>
      <c r="B42" s="29"/>
      <c r="C42" s="7">
        <v>175</v>
      </c>
      <c r="D42" s="8" t="s">
        <v>63</v>
      </c>
      <c r="E42" s="8" t="s">
        <v>20</v>
      </c>
      <c r="F42" s="25">
        <v>0.47569444444444442</v>
      </c>
      <c r="G42" s="8" t="s">
        <v>64</v>
      </c>
    </row>
    <row r="43" spans="1:7" ht="18" customHeight="1" thickBot="1" x14ac:dyDescent="0.3">
      <c r="A43" s="11" t="s">
        <v>95</v>
      </c>
      <c r="B43" s="17" t="s">
        <v>102</v>
      </c>
      <c r="C43" s="17" t="s">
        <v>94</v>
      </c>
      <c r="D43" s="31">
        <f>SUM(C41:C42)</f>
        <v>190</v>
      </c>
      <c r="E43" s="31"/>
      <c r="F43" s="31"/>
      <c r="G43" s="32"/>
    </row>
    <row r="44" spans="1:7" ht="48.75" customHeight="1" thickBot="1" x14ac:dyDescent="0.3">
      <c r="A44" s="4" t="s">
        <v>28</v>
      </c>
      <c r="B44" s="26">
        <v>45992</v>
      </c>
      <c r="C44" s="5">
        <v>140</v>
      </c>
      <c r="D44" s="8" t="s">
        <v>65</v>
      </c>
      <c r="E44" s="8" t="s">
        <v>20</v>
      </c>
      <c r="F44" s="23">
        <v>0.65625</v>
      </c>
      <c r="G44" s="8" t="s">
        <v>66</v>
      </c>
    </row>
    <row r="45" spans="1:7" ht="18" customHeight="1" thickBot="1" x14ac:dyDescent="0.3">
      <c r="A45" s="11" t="s">
        <v>95</v>
      </c>
      <c r="B45" s="17" t="s">
        <v>103</v>
      </c>
      <c r="C45" s="17" t="s">
        <v>94</v>
      </c>
      <c r="D45" s="31">
        <f>SUM(C44:C44)</f>
        <v>140</v>
      </c>
      <c r="E45" s="31"/>
      <c r="F45" s="31"/>
      <c r="G45" s="32"/>
    </row>
    <row r="46" spans="1:7" ht="18" customHeight="1" x14ac:dyDescent="0.25">
      <c r="A46" s="4" t="s">
        <v>28</v>
      </c>
      <c r="B46" s="28">
        <v>45993</v>
      </c>
      <c r="C46" s="5">
        <v>45</v>
      </c>
      <c r="D46" s="8" t="s">
        <v>65</v>
      </c>
      <c r="E46" s="8" t="s">
        <v>9</v>
      </c>
      <c r="F46" s="23">
        <v>0.36458333333333331</v>
      </c>
      <c r="G46" s="19"/>
    </row>
    <row r="47" spans="1:7" ht="30" customHeight="1" x14ac:dyDescent="0.25">
      <c r="A47" s="6" t="s">
        <v>68</v>
      </c>
      <c r="B47" s="29"/>
      <c r="C47" s="7">
        <v>75</v>
      </c>
      <c r="D47" s="8" t="s">
        <v>67</v>
      </c>
      <c r="E47" s="8" t="s">
        <v>9</v>
      </c>
      <c r="F47" s="23">
        <v>0.42708333333333331</v>
      </c>
      <c r="G47" s="19"/>
    </row>
    <row r="48" spans="1:7" ht="48" customHeight="1" x14ac:dyDescent="0.25">
      <c r="A48" s="6" t="s">
        <v>28</v>
      </c>
      <c r="B48" s="29"/>
      <c r="C48" s="7">
        <v>15</v>
      </c>
      <c r="D48" s="8" t="s">
        <v>69</v>
      </c>
      <c r="E48" s="8" t="s">
        <v>9</v>
      </c>
      <c r="F48" s="23">
        <v>0.4375</v>
      </c>
      <c r="G48" s="19"/>
    </row>
    <row r="49" spans="1:7" ht="18" customHeight="1" x14ac:dyDescent="0.25">
      <c r="A49" s="6" t="s">
        <v>28</v>
      </c>
      <c r="B49" s="29"/>
      <c r="C49" s="7">
        <v>10</v>
      </c>
      <c r="D49" s="8" t="s">
        <v>70</v>
      </c>
      <c r="E49" s="8" t="s">
        <v>9</v>
      </c>
      <c r="F49" s="23">
        <v>0.44444444444444442</v>
      </c>
      <c r="G49" s="19"/>
    </row>
    <row r="50" spans="1:7" ht="30" customHeight="1" thickBot="1" x14ac:dyDescent="0.3">
      <c r="A50" s="6" t="s">
        <v>28</v>
      </c>
      <c r="B50" s="29"/>
      <c r="C50" s="7">
        <v>10</v>
      </c>
      <c r="D50" s="8" t="s">
        <v>71</v>
      </c>
      <c r="E50" s="8" t="s">
        <v>9</v>
      </c>
      <c r="F50" s="23">
        <v>0.4513888888888889</v>
      </c>
      <c r="G50" s="19"/>
    </row>
    <row r="51" spans="1:7" ht="18" customHeight="1" thickBot="1" x14ac:dyDescent="0.3">
      <c r="A51" s="6" t="s">
        <v>8</v>
      </c>
      <c r="B51" s="29"/>
      <c r="C51" s="7">
        <v>35</v>
      </c>
      <c r="D51" s="8" t="s">
        <v>72</v>
      </c>
      <c r="E51" s="8" t="s">
        <v>9</v>
      </c>
      <c r="F51" s="23">
        <v>0.47569444444444442</v>
      </c>
      <c r="G51" s="19"/>
    </row>
    <row r="52" spans="1:7" ht="18" customHeight="1" thickBot="1" x14ac:dyDescent="0.3">
      <c r="A52" s="11" t="s">
        <v>95</v>
      </c>
      <c r="B52" s="17" t="s">
        <v>104</v>
      </c>
      <c r="C52" s="17" t="s">
        <v>94</v>
      </c>
      <c r="D52" s="31">
        <f>SUM(C46:C51)</f>
        <v>190</v>
      </c>
      <c r="E52" s="31"/>
      <c r="F52" s="31"/>
      <c r="G52" s="32"/>
    </row>
    <row r="53" spans="1:7" ht="48" customHeight="1" x14ac:dyDescent="0.25">
      <c r="A53" s="4" t="s">
        <v>73</v>
      </c>
      <c r="B53" s="28">
        <v>45999</v>
      </c>
      <c r="C53" s="5">
        <v>60</v>
      </c>
      <c r="D53" s="8" t="s">
        <v>74</v>
      </c>
      <c r="E53" s="8" t="s">
        <v>9</v>
      </c>
      <c r="F53" s="23">
        <v>0.375</v>
      </c>
      <c r="G53" s="8" t="s">
        <v>75</v>
      </c>
    </row>
    <row r="54" spans="1:7" ht="18" customHeight="1" x14ac:dyDescent="0.25">
      <c r="A54" s="6" t="s">
        <v>25</v>
      </c>
      <c r="B54" s="29"/>
      <c r="C54" s="7">
        <v>15</v>
      </c>
      <c r="D54" s="8" t="s">
        <v>60</v>
      </c>
      <c r="E54" s="8" t="s">
        <v>9</v>
      </c>
      <c r="F54" s="23">
        <v>0.38541666666666669</v>
      </c>
      <c r="G54" s="19"/>
    </row>
    <row r="55" spans="1:7" ht="30" customHeight="1" thickBot="1" x14ac:dyDescent="0.3">
      <c r="A55" s="6" t="s">
        <v>28</v>
      </c>
      <c r="B55" s="29"/>
      <c r="C55" s="7">
        <v>65</v>
      </c>
      <c r="D55" s="8" t="s">
        <v>76</v>
      </c>
      <c r="E55" s="8" t="s">
        <v>20</v>
      </c>
      <c r="F55" s="23">
        <v>0.44097222222222227</v>
      </c>
      <c r="G55" s="8" t="s">
        <v>77</v>
      </c>
    </row>
    <row r="56" spans="1:7" ht="18" customHeight="1" thickBot="1" x14ac:dyDescent="0.3">
      <c r="A56" s="11" t="s">
        <v>95</v>
      </c>
      <c r="B56" s="17" t="s">
        <v>105</v>
      </c>
      <c r="C56" s="17" t="s">
        <v>94</v>
      </c>
      <c r="D56" s="31">
        <f>SUM(C53:C55)</f>
        <v>140</v>
      </c>
      <c r="E56" s="31"/>
      <c r="F56" s="31"/>
      <c r="G56" s="32"/>
    </row>
    <row r="57" spans="1:7" ht="30" customHeight="1" x14ac:dyDescent="0.25">
      <c r="A57" s="4" t="s">
        <v>73</v>
      </c>
      <c r="B57" s="28">
        <v>46006</v>
      </c>
      <c r="C57" s="5">
        <v>15</v>
      </c>
      <c r="D57" s="8" t="s">
        <v>81</v>
      </c>
      <c r="E57" s="8" t="s">
        <v>9</v>
      </c>
      <c r="F57" s="23">
        <v>0.55902777777777779</v>
      </c>
      <c r="G57" s="8" t="s">
        <v>78</v>
      </c>
    </row>
    <row r="58" spans="1:7" ht="30" customHeight="1" thickBot="1" x14ac:dyDescent="0.3">
      <c r="A58" s="6" t="s">
        <v>28</v>
      </c>
      <c r="B58" s="29"/>
      <c r="C58" s="7">
        <v>125</v>
      </c>
      <c r="D58" s="8" t="s">
        <v>80</v>
      </c>
      <c r="E58" s="8" t="s">
        <v>20</v>
      </c>
      <c r="F58" s="23">
        <v>0.65625</v>
      </c>
      <c r="G58" s="8" t="s">
        <v>79</v>
      </c>
    </row>
    <row r="59" spans="1:7" ht="18" customHeight="1" thickBot="1" x14ac:dyDescent="0.3">
      <c r="A59" s="11" t="s">
        <v>95</v>
      </c>
      <c r="B59" s="17" t="s">
        <v>106</v>
      </c>
      <c r="C59" s="17" t="s">
        <v>94</v>
      </c>
      <c r="D59" s="31">
        <f>SUM(C57:C58)</f>
        <v>140</v>
      </c>
      <c r="E59" s="31"/>
      <c r="F59" s="31"/>
      <c r="G59" s="32"/>
    </row>
    <row r="60" spans="1:7" ht="48" customHeight="1" x14ac:dyDescent="0.25">
      <c r="A60" s="4" t="s">
        <v>73</v>
      </c>
      <c r="B60" s="28">
        <v>46007</v>
      </c>
      <c r="C60" s="5">
        <v>60</v>
      </c>
      <c r="D60" s="8" t="s">
        <v>113</v>
      </c>
      <c r="E60" s="8" t="s">
        <v>9</v>
      </c>
      <c r="F60" s="23">
        <v>0.375</v>
      </c>
      <c r="G60" s="8" t="s">
        <v>112</v>
      </c>
    </row>
    <row r="61" spans="1:7" ht="30" customHeight="1" x14ac:dyDescent="0.25">
      <c r="A61" s="6" t="s">
        <v>28</v>
      </c>
      <c r="B61" s="29"/>
      <c r="C61" s="7">
        <v>10</v>
      </c>
      <c r="D61" s="8" t="s">
        <v>118</v>
      </c>
      <c r="E61" s="8" t="s">
        <v>9</v>
      </c>
      <c r="F61" s="23">
        <v>0.38194444444444442</v>
      </c>
      <c r="G61" s="19"/>
    </row>
    <row r="62" spans="1:7" ht="18" customHeight="1" x14ac:dyDescent="0.25">
      <c r="A62" s="6" t="s">
        <v>28</v>
      </c>
      <c r="B62" s="29"/>
      <c r="C62" s="7">
        <v>45</v>
      </c>
      <c r="D62" s="8" t="s">
        <v>114</v>
      </c>
      <c r="E62" s="8" t="s">
        <v>9</v>
      </c>
      <c r="F62" s="23">
        <v>0.4236111111111111</v>
      </c>
      <c r="G62" s="19"/>
    </row>
    <row r="63" spans="1:7" ht="18" customHeight="1" thickBot="1" x14ac:dyDescent="0.3">
      <c r="A63" s="6" t="s">
        <v>28</v>
      </c>
      <c r="B63" s="29"/>
      <c r="C63" s="7">
        <v>65</v>
      </c>
      <c r="D63" s="8" t="s">
        <v>115</v>
      </c>
      <c r="E63" s="8" t="s">
        <v>9</v>
      </c>
      <c r="F63" s="23">
        <v>0.47569444444444442</v>
      </c>
      <c r="G63" s="8" t="s">
        <v>116</v>
      </c>
    </row>
    <row r="64" spans="1:7" ht="18" customHeight="1" thickBot="1" x14ac:dyDescent="0.3">
      <c r="A64" s="11" t="s">
        <v>95</v>
      </c>
      <c r="B64" s="17" t="s">
        <v>107</v>
      </c>
      <c r="C64" s="17" t="s">
        <v>94</v>
      </c>
      <c r="D64" s="31">
        <f>SUM(C60:C63)</f>
        <v>180</v>
      </c>
      <c r="E64" s="31"/>
      <c r="F64" s="31"/>
      <c r="G64" s="32"/>
    </row>
    <row r="65" spans="1:7" ht="18" customHeight="1" x14ac:dyDescent="0.25">
      <c r="A65" s="4" t="s">
        <v>73</v>
      </c>
      <c r="B65" s="28">
        <v>46027</v>
      </c>
      <c r="C65" s="5">
        <v>10</v>
      </c>
      <c r="D65" s="8" t="s">
        <v>117</v>
      </c>
      <c r="E65" s="8" t="s">
        <v>9</v>
      </c>
      <c r="F65" s="23">
        <v>0.55208333333333337</v>
      </c>
      <c r="G65" s="19"/>
    </row>
    <row r="66" spans="1:7" ht="18" customHeight="1" x14ac:dyDescent="0.25">
      <c r="A66" s="6" t="s">
        <v>28</v>
      </c>
      <c r="B66" s="29"/>
      <c r="C66" s="7">
        <v>10</v>
      </c>
      <c r="D66" s="8" t="s">
        <v>119</v>
      </c>
      <c r="E66" s="8" t="s">
        <v>9</v>
      </c>
      <c r="F66" s="23">
        <v>0.55902777777777779</v>
      </c>
      <c r="G66" s="19"/>
    </row>
    <row r="67" spans="1:7" ht="18" customHeight="1" x14ac:dyDescent="0.25">
      <c r="A67" s="6" t="s">
        <v>25</v>
      </c>
      <c r="B67" s="29"/>
      <c r="C67" s="7">
        <v>10</v>
      </c>
      <c r="D67" s="8" t="s">
        <v>120</v>
      </c>
      <c r="E67" s="8" t="s">
        <v>9</v>
      </c>
      <c r="F67" s="23">
        <v>0.56597222222222221</v>
      </c>
      <c r="G67" s="19"/>
    </row>
    <row r="68" spans="1:7" ht="30" customHeight="1" x14ac:dyDescent="0.25">
      <c r="A68" s="6" t="s">
        <v>28</v>
      </c>
      <c r="B68" s="29"/>
      <c r="C68" s="7">
        <v>45</v>
      </c>
      <c r="D68" s="8" t="s">
        <v>121</v>
      </c>
      <c r="E68" s="8" t="s">
        <v>9</v>
      </c>
      <c r="F68" s="23">
        <v>0.59722222222222221</v>
      </c>
      <c r="G68" s="19"/>
    </row>
    <row r="69" spans="1:7" ht="18" customHeight="1" thickBot="1" x14ac:dyDescent="0.3">
      <c r="A69" s="6" t="s">
        <v>28</v>
      </c>
      <c r="B69" s="29"/>
      <c r="C69" s="7">
        <v>70</v>
      </c>
      <c r="D69" s="8" t="s">
        <v>122</v>
      </c>
      <c r="E69" s="8" t="s">
        <v>9</v>
      </c>
      <c r="F69" s="23">
        <v>0.65625</v>
      </c>
      <c r="G69" s="19" t="s">
        <v>123</v>
      </c>
    </row>
    <row r="70" spans="1:7" ht="18" customHeight="1" thickBot="1" x14ac:dyDescent="0.3">
      <c r="A70" s="11" t="s">
        <v>95</v>
      </c>
      <c r="B70" s="17" t="s">
        <v>108</v>
      </c>
      <c r="C70" s="17" t="s">
        <v>94</v>
      </c>
      <c r="D70" s="31">
        <f>SUM(C65:C69)</f>
        <v>145</v>
      </c>
      <c r="E70" s="31"/>
      <c r="F70" s="31"/>
      <c r="G70" s="32"/>
    </row>
    <row r="71" spans="1:7" ht="48" customHeight="1" x14ac:dyDescent="0.25">
      <c r="A71" s="4" t="s">
        <v>28</v>
      </c>
      <c r="B71" s="28">
        <v>46042</v>
      </c>
      <c r="C71" s="5">
        <v>135</v>
      </c>
      <c r="D71" s="8" t="s">
        <v>124</v>
      </c>
      <c r="E71" s="8" t="s">
        <v>9</v>
      </c>
      <c r="F71" s="23">
        <v>0.4375</v>
      </c>
      <c r="G71" s="8" t="s">
        <v>125</v>
      </c>
    </row>
    <row r="72" spans="1:7" ht="18" customHeight="1" x14ac:dyDescent="0.25">
      <c r="A72" s="6" t="s">
        <v>22</v>
      </c>
      <c r="B72" s="29"/>
      <c r="C72" s="7">
        <v>5</v>
      </c>
      <c r="D72" s="8" t="s">
        <v>126</v>
      </c>
      <c r="E72" s="8" t="s">
        <v>9</v>
      </c>
      <c r="F72" s="23">
        <v>0.44097222222222227</v>
      </c>
      <c r="G72" s="19"/>
    </row>
    <row r="73" spans="1:7" ht="18" customHeight="1" x14ac:dyDescent="0.25">
      <c r="A73" s="6" t="s">
        <v>28</v>
      </c>
      <c r="B73" s="29"/>
      <c r="C73" s="7">
        <v>40</v>
      </c>
      <c r="D73" s="8" t="s">
        <v>127</v>
      </c>
      <c r="E73" s="8" t="s">
        <v>9</v>
      </c>
      <c r="F73" s="23">
        <v>0.46527777777777773</v>
      </c>
      <c r="G73" s="19"/>
    </row>
    <row r="74" spans="1:7" ht="18" customHeight="1" thickBot="1" x14ac:dyDescent="0.3">
      <c r="A74" s="6" t="s">
        <v>28</v>
      </c>
      <c r="B74" s="29"/>
      <c r="C74" s="7">
        <v>15</v>
      </c>
      <c r="D74" s="8" t="s">
        <v>128</v>
      </c>
      <c r="E74" s="8" t="s">
        <v>20</v>
      </c>
      <c r="F74" s="23">
        <v>0.47569444444444442</v>
      </c>
      <c r="G74" s="19"/>
    </row>
    <row r="75" spans="1:7" ht="18" customHeight="1" thickBot="1" x14ac:dyDescent="0.3">
      <c r="A75" s="11" t="s">
        <v>95</v>
      </c>
      <c r="B75" s="17" t="s">
        <v>109</v>
      </c>
      <c r="C75" s="17" t="s">
        <v>94</v>
      </c>
      <c r="D75" s="31">
        <f>SUM(C71:C74)</f>
        <v>195</v>
      </c>
      <c r="E75" s="31"/>
      <c r="F75" s="31"/>
      <c r="G75" s="32"/>
    </row>
    <row r="76" spans="1:7" ht="18" customHeight="1" x14ac:dyDescent="0.25">
      <c r="A76" s="4" t="s">
        <v>28</v>
      </c>
      <c r="B76" s="28">
        <v>46049</v>
      </c>
      <c r="C76" s="7">
        <v>15</v>
      </c>
      <c r="D76" s="8" t="s">
        <v>128</v>
      </c>
      <c r="E76" s="8" t="s">
        <v>9</v>
      </c>
      <c r="F76" s="23">
        <v>0.34375</v>
      </c>
      <c r="G76" s="8"/>
    </row>
    <row r="77" spans="1:7" ht="30" customHeight="1" x14ac:dyDescent="0.25">
      <c r="A77" s="6" t="s">
        <v>28</v>
      </c>
      <c r="B77" s="29"/>
      <c r="C77" s="7">
        <v>25</v>
      </c>
      <c r="D77" s="8" t="s">
        <v>130</v>
      </c>
      <c r="E77" s="8" t="s">
        <v>9</v>
      </c>
      <c r="F77" s="23">
        <v>0.36458333333333331</v>
      </c>
      <c r="G77" s="8" t="s">
        <v>131</v>
      </c>
    </row>
    <row r="78" spans="1:7" ht="18" customHeight="1" x14ac:dyDescent="0.25">
      <c r="A78" s="6" t="s">
        <v>28</v>
      </c>
      <c r="B78" s="29"/>
      <c r="C78" s="7">
        <v>10</v>
      </c>
      <c r="D78" s="8" t="s">
        <v>133</v>
      </c>
      <c r="E78" s="8" t="s">
        <v>9</v>
      </c>
      <c r="F78" s="23">
        <v>0.37152777777777773</v>
      </c>
      <c r="G78" s="8"/>
    </row>
    <row r="79" spans="1:7" ht="30" customHeight="1" x14ac:dyDescent="0.25">
      <c r="A79" s="6" t="s">
        <v>28</v>
      </c>
      <c r="B79" s="29"/>
      <c r="C79" s="7">
        <v>65</v>
      </c>
      <c r="D79" s="8" t="s">
        <v>132</v>
      </c>
      <c r="E79" s="8" t="s">
        <v>9</v>
      </c>
      <c r="F79" s="23">
        <v>0.42708333333333331</v>
      </c>
      <c r="G79" s="8" t="s">
        <v>135</v>
      </c>
    </row>
    <row r="80" spans="1:7" ht="18" customHeight="1" x14ac:dyDescent="0.25">
      <c r="A80" s="6" t="s">
        <v>28</v>
      </c>
      <c r="B80" s="29"/>
      <c r="C80" s="7">
        <v>15</v>
      </c>
      <c r="D80" s="8" t="s">
        <v>134</v>
      </c>
      <c r="E80" s="8" t="s">
        <v>9</v>
      </c>
      <c r="F80" s="23">
        <v>0.4375</v>
      </c>
      <c r="G80" s="8"/>
    </row>
    <row r="81" spans="1:7" ht="18" customHeight="1" x14ac:dyDescent="0.25">
      <c r="A81" s="6" t="s">
        <v>28</v>
      </c>
      <c r="B81" s="29"/>
      <c r="C81" s="7">
        <v>40</v>
      </c>
      <c r="D81" s="8" t="s">
        <v>136</v>
      </c>
      <c r="E81" s="8" t="s">
        <v>9</v>
      </c>
      <c r="F81" s="23">
        <v>0.46527777777777773</v>
      </c>
      <c r="G81" s="8"/>
    </row>
    <row r="82" spans="1:7" ht="18" customHeight="1" x14ac:dyDescent="0.25">
      <c r="A82" s="6" t="s">
        <v>28</v>
      </c>
      <c r="B82" s="29"/>
      <c r="C82" s="7">
        <v>15</v>
      </c>
      <c r="D82" s="8" t="s">
        <v>137</v>
      </c>
      <c r="E82" s="8" t="s">
        <v>9</v>
      </c>
      <c r="F82" s="23">
        <v>0.47569444444444442</v>
      </c>
      <c r="G82" s="8"/>
    </row>
    <row r="83" spans="1:7" ht="18" customHeight="1" x14ac:dyDescent="0.25">
      <c r="A83" s="6" t="s">
        <v>28</v>
      </c>
      <c r="B83" s="29"/>
      <c r="C83" s="7">
        <v>25</v>
      </c>
      <c r="D83" s="8" t="s">
        <v>139</v>
      </c>
      <c r="E83" s="8" t="s">
        <v>9</v>
      </c>
      <c r="F83" s="23">
        <v>0.61458333333333337</v>
      </c>
      <c r="G83" s="8" t="s">
        <v>140</v>
      </c>
    </row>
    <row r="84" spans="1:7" ht="18" customHeight="1" thickBot="1" x14ac:dyDescent="0.3">
      <c r="A84" s="6" t="s">
        <v>28</v>
      </c>
      <c r="B84" s="30"/>
      <c r="C84" s="7">
        <v>5</v>
      </c>
      <c r="D84" s="8" t="s">
        <v>142</v>
      </c>
      <c r="E84" s="8" t="s">
        <v>9</v>
      </c>
      <c r="F84" s="23">
        <v>0.63888888888888895</v>
      </c>
      <c r="G84" s="8"/>
    </row>
    <row r="85" spans="1:7" ht="18" customHeight="1" thickBot="1" x14ac:dyDescent="0.3">
      <c r="A85" s="11" t="s">
        <v>95</v>
      </c>
      <c r="B85" s="17" t="s">
        <v>110</v>
      </c>
      <c r="C85" s="17" t="s">
        <v>94</v>
      </c>
      <c r="D85" s="31">
        <f>SUM(C76:C84)</f>
        <v>215</v>
      </c>
      <c r="E85" s="31"/>
      <c r="F85" s="31"/>
      <c r="G85" s="32"/>
    </row>
    <row r="86" spans="1:7" ht="30" customHeight="1" x14ac:dyDescent="0.25">
      <c r="A86" s="4" t="s">
        <v>28</v>
      </c>
      <c r="B86" s="28">
        <v>46063</v>
      </c>
      <c r="C86" s="5">
        <v>10</v>
      </c>
      <c r="D86" s="8" t="s">
        <v>143</v>
      </c>
      <c r="E86" s="8" t="s">
        <v>9</v>
      </c>
      <c r="F86" s="23">
        <v>0.34027777777777773</v>
      </c>
      <c r="G86" s="8" t="s">
        <v>144</v>
      </c>
    </row>
    <row r="87" spans="1:7" ht="18" customHeight="1" x14ac:dyDescent="0.25">
      <c r="A87" s="6" t="s">
        <v>28</v>
      </c>
      <c r="B87" s="29"/>
      <c r="C87" s="7">
        <v>55</v>
      </c>
      <c r="D87" s="8" t="s">
        <v>145</v>
      </c>
      <c r="E87" s="8" t="s">
        <v>9</v>
      </c>
      <c r="F87" s="23">
        <v>0.37847222222222227</v>
      </c>
      <c r="G87" s="8"/>
    </row>
    <row r="88" spans="1:7" ht="18" customHeight="1" x14ac:dyDescent="0.25">
      <c r="A88" s="6" t="s">
        <v>28</v>
      </c>
      <c r="B88" s="29"/>
      <c r="C88" s="7">
        <v>40</v>
      </c>
      <c r="D88" s="8" t="s">
        <v>146</v>
      </c>
      <c r="E88" s="8" t="s">
        <v>9</v>
      </c>
      <c r="F88" s="23">
        <v>0.41666666666666669</v>
      </c>
      <c r="G88" s="19"/>
    </row>
    <row r="89" spans="1:7" ht="48" customHeight="1" thickBot="1" x14ac:dyDescent="0.3">
      <c r="A89" s="6" t="s">
        <v>28</v>
      </c>
      <c r="B89" s="29"/>
      <c r="C89" s="7">
        <v>85</v>
      </c>
      <c r="D89" s="8" t="s">
        <v>147</v>
      </c>
      <c r="E89" s="8" t="s">
        <v>20</v>
      </c>
      <c r="F89" s="23">
        <v>0.47569444444444442</v>
      </c>
      <c r="G89" s="8" t="s">
        <v>150</v>
      </c>
    </row>
    <row r="90" spans="1:7" ht="18" customHeight="1" thickBot="1" x14ac:dyDescent="0.3">
      <c r="A90" s="11" t="s">
        <v>95</v>
      </c>
      <c r="B90" s="17" t="s">
        <v>138</v>
      </c>
      <c r="C90" s="17" t="s">
        <v>94</v>
      </c>
      <c r="D90" s="31">
        <f>SUM(C86:C89)</f>
        <v>190</v>
      </c>
      <c r="E90" s="31"/>
      <c r="F90" s="31"/>
      <c r="G90" s="32"/>
    </row>
    <row r="91" spans="1:7" ht="18" customHeight="1" x14ac:dyDescent="0.25">
      <c r="A91" s="4"/>
      <c r="B91" s="28"/>
      <c r="C91" s="5"/>
      <c r="D91" s="8"/>
      <c r="E91" s="8"/>
      <c r="F91" s="22"/>
      <c r="G91" s="19"/>
    </row>
    <row r="92" spans="1:7" ht="18" customHeight="1" x14ac:dyDescent="0.25">
      <c r="A92" s="6"/>
      <c r="B92" s="29"/>
      <c r="C92" s="7"/>
      <c r="D92" s="8"/>
      <c r="E92" s="8"/>
      <c r="F92" s="22"/>
      <c r="G92" s="19"/>
    </row>
    <row r="93" spans="1:7" ht="18" customHeight="1" x14ac:dyDescent="0.25">
      <c r="A93" s="6"/>
      <c r="B93" s="29"/>
      <c r="C93" s="7"/>
      <c r="D93" s="8"/>
      <c r="E93" s="8"/>
      <c r="F93" s="7"/>
      <c r="G93" s="19"/>
    </row>
    <row r="94" spans="1:7" ht="18" customHeight="1" x14ac:dyDescent="0.25">
      <c r="A94" s="6"/>
      <c r="B94" s="29"/>
      <c r="C94" s="7"/>
      <c r="D94" s="8"/>
      <c r="E94" s="8"/>
      <c r="F94" s="7"/>
      <c r="G94" s="19"/>
    </row>
    <row r="95" spans="1:7" ht="18" customHeight="1" thickBot="1" x14ac:dyDescent="0.3">
      <c r="A95" s="9"/>
      <c r="B95" s="30"/>
      <c r="C95" s="9"/>
      <c r="D95" s="8"/>
      <c r="E95" s="10"/>
      <c r="F95" s="7"/>
      <c r="G95" s="19"/>
    </row>
    <row r="96" spans="1:7" ht="18" customHeight="1" thickBot="1" x14ac:dyDescent="0.3">
      <c r="A96" s="11" t="s">
        <v>95</v>
      </c>
      <c r="B96" s="17" t="s">
        <v>141</v>
      </c>
      <c r="C96" s="17" t="s">
        <v>94</v>
      </c>
      <c r="D96" s="31">
        <f>SUM(C91:C95)</f>
        <v>0</v>
      </c>
      <c r="E96" s="31"/>
      <c r="F96" s="31"/>
      <c r="G96" s="32"/>
    </row>
    <row r="97" spans="1:7" ht="18" customHeight="1" x14ac:dyDescent="0.25">
      <c r="A97" s="4"/>
      <c r="B97" s="28"/>
      <c r="C97" s="5"/>
      <c r="D97" s="8"/>
      <c r="E97" s="8"/>
      <c r="F97" s="22"/>
      <c r="G97" s="19"/>
    </row>
    <row r="98" spans="1:7" ht="18" customHeight="1" x14ac:dyDescent="0.25">
      <c r="A98" s="6"/>
      <c r="B98" s="29"/>
      <c r="C98" s="7"/>
      <c r="D98" s="8"/>
      <c r="E98" s="8"/>
      <c r="F98" s="22"/>
      <c r="G98" s="19"/>
    </row>
    <row r="99" spans="1:7" ht="18" customHeight="1" x14ac:dyDescent="0.25">
      <c r="A99" s="6"/>
      <c r="B99" s="29"/>
      <c r="C99" s="7"/>
      <c r="D99" s="8"/>
      <c r="E99" s="8"/>
      <c r="F99" s="7"/>
      <c r="G99" s="19"/>
    </row>
    <row r="100" spans="1:7" ht="18" customHeight="1" x14ac:dyDescent="0.25">
      <c r="A100" s="6"/>
      <c r="B100" s="29"/>
      <c r="C100" s="7"/>
      <c r="D100" s="8"/>
      <c r="E100" s="8"/>
      <c r="F100" s="7"/>
      <c r="G100" s="19"/>
    </row>
    <row r="101" spans="1:7" ht="18" customHeight="1" thickBot="1" x14ac:dyDescent="0.3">
      <c r="A101" s="9"/>
      <c r="B101" s="30"/>
      <c r="C101" s="9"/>
      <c r="D101" s="8"/>
      <c r="E101" s="10"/>
      <c r="F101" s="7"/>
      <c r="G101" s="19"/>
    </row>
    <row r="102" spans="1:7" ht="18" customHeight="1" thickBot="1" x14ac:dyDescent="0.3">
      <c r="A102" s="11" t="s">
        <v>95</v>
      </c>
      <c r="B102" s="17" t="s">
        <v>148</v>
      </c>
      <c r="C102" s="17" t="s">
        <v>94</v>
      </c>
      <c r="D102" s="31">
        <f>SUM(C97:C101)</f>
        <v>0</v>
      </c>
      <c r="E102" s="31"/>
      <c r="F102" s="31"/>
      <c r="G102" s="32"/>
    </row>
    <row r="103" spans="1:7" ht="18" customHeight="1" x14ac:dyDescent="0.25">
      <c r="A103" s="4"/>
      <c r="B103" s="28"/>
      <c r="C103" s="5"/>
      <c r="D103" s="8"/>
      <c r="E103" s="8"/>
      <c r="F103" s="22"/>
      <c r="G103" s="19"/>
    </row>
    <row r="104" spans="1:7" ht="18" customHeight="1" x14ac:dyDescent="0.25">
      <c r="A104" s="6"/>
      <c r="B104" s="29"/>
      <c r="C104" s="7"/>
      <c r="D104" s="8"/>
      <c r="E104" s="8"/>
      <c r="F104" s="22"/>
      <c r="G104" s="19"/>
    </row>
    <row r="105" spans="1:7" ht="18" customHeight="1" x14ac:dyDescent="0.25">
      <c r="A105" s="6"/>
      <c r="B105" s="29"/>
      <c r="C105" s="7"/>
      <c r="D105" s="8"/>
      <c r="E105" s="8"/>
      <c r="F105" s="7"/>
      <c r="G105" s="19"/>
    </row>
    <row r="106" spans="1:7" ht="18" customHeight="1" x14ac:dyDescent="0.25">
      <c r="A106" s="6"/>
      <c r="B106" s="29"/>
      <c r="C106" s="7"/>
      <c r="D106" s="8"/>
      <c r="E106" s="8"/>
      <c r="F106" s="7"/>
      <c r="G106" s="19"/>
    </row>
    <row r="107" spans="1:7" ht="18" customHeight="1" thickBot="1" x14ac:dyDescent="0.3">
      <c r="A107" s="9"/>
      <c r="B107" s="30"/>
      <c r="C107" s="9"/>
      <c r="D107" s="8"/>
      <c r="E107" s="10"/>
      <c r="F107" s="7"/>
      <c r="G107" s="19"/>
    </row>
    <row r="108" spans="1:7" ht="18" customHeight="1" thickBot="1" x14ac:dyDescent="0.3">
      <c r="A108" s="11" t="s">
        <v>95</v>
      </c>
      <c r="B108" s="17" t="s">
        <v>149</v>
      </c>
      <c r="C108" s="17" t="s">
        <v>94</v>
      </c>
      <c r="D108" s="31">
        <f>SUM(C103:C107)</f>
        <v>0</v>
      </c>
      <c r="E108" s="31"/>
      <c r="F108" s="31"/>
      <c r="G108" s="32"/>
    </row>
    <row r="109" spans="1:7" ht="21" customHeight="1" thickBot="1" x14ac:dyDescent="0.3">
      <c r="A109" s="42" t="s">
        <v>111</v>
      </c>
      <c r="B109" s="43"/>
      <c r="C109" s="12">
        <f>MROUND(SUM(C6:C108) /60,0.2)</f>
        <v>45.2</v>
      </c>
      <c r="D109" s="13"/>
      <c r="E109" s="18"/>
      <c r="F109" s="20"/>
      <c r="G109" s="14"/>
    </row>
    <row r="110" spans="1:7" x14ac:dyDescent="0.25">
      <c r="A110" s="15"/>
    </row>
    <row r="111" spans="1:7" x14ac:dyDescent="0.25">
      <c r="A111" s="15"/>
    </row>
  </sheetData>
  <mergeCells count="50">
    <mergeCell ref="B20:B21"/>
    <mergeCell ref="B23:B25"/>
    <mergeCell ref="B27:B29"/>
    <mergeCell ref="A109:B109"/>
    <mergeCell ref="B31:B39"/>
    <mergeCell ref="B103:B107"/>
    <mergeCell ref="B46:B51"/>
    <mergeCell ref="B41:B42"/>
    <mergeCell ref="B71:B74"/>
    <mergeCell ref="B65:B69"/>
    <mergeCell ref="B53:B55"/>
    <mergeCell ref="B57:B58"/>
    <mergeCell ref="B60:B63"/>
    <mergeCell ref="B86:B89"/>
    <mergeCell ref="B97:B101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108:G108"/>
    <mergeCell ref="D52:G52"/>
    <mergeCell ref="D43:G43"/>
    <mergeCell ref="D45:G45"/>
    <mergeCell ref="D75:G75"/>
    <mergeCell ref="D70:G70"/>
    <mergeCell ref="D56:G56"/>
    <mergeCell ref="D59:G59"/>
    <mergeCell ref="D64:G64"/>
    <mergeCell ref="D85:G85"/>
    <mergeCell ref="D90:G90"/>
    <mergeCell ref="D102:G102"/>
    <mergeCell ref="B91:B95"/>
    <mergeCell ref="D96:G96"/>
    <mergeCell ref="D22:G22"/>
    <mergeCell ref="D26:G26"/>
    <mergeCell ref="D30:G30"/>
    <mergeCell ref="D40:G40"/>
    <mergeCell ref="B76:B84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103:C107 C27:C29 C23:C25 C16:C18 B6 C10:C14 C20:C21 C6:C8 C31:C39 C41:C42 C44 C46:C51 C71:C74 C53:C55 C60:C63 C57:C58 C65:C69 C76:C84 C86:C89 C97:C101 C91:C95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103:B107 B27:B29 B23:B25 B31:B39 B41:B42 B44 B46:B51 B71:B74 B53:B55 B60:B63 B57:B58 B65:B69 B76 B86:B89 B97:B101 B91:B95" xr:uid="{7694F886-C01B-440C-B6C8-5FF698F43C26}">
      <formula1>45261</formula1>
    </dataValidation>
  </dataValidations>
  <hyperlinks>
    <hyperlink ref="G6" r:id="rId1" xr:uid="{48F1459F-A9D8-4CFC-BB03-37B9BE21D6DE}"/>
    <hyperlink ref="G69" r:id="rId2" xr:uid="{93681196-2DD2-4E71-B42F-AE88441C8C0B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28" orientation="portrait" r:id="rId3"/>
  <headerFooter>
    <oddHeader>&amp;L&amp;"Etml_font,Normal"&amp;22ETML&amp;R&amp;G</oddHeader>
    <oddFooter>&amp;L&amp;14&amp;D&amp;R&amp;14Journal</oddFooter>
  </headerFooter>
  <legacyDrawingHF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9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A103:E107 A109:E1048576 A44:E44 A41:E42 A46:E51 A71:E74 A65:E69 A60:E63 A57:E58 A53:E55 A86:E89 A76:E76 C77:E84 A97:E101 A91:E95 A1:D2 F1:F3 A3 D3 G4:G5 G7:G8 A9:D9 A15:D15 A19:D19 A22:D22 A26:D26 A30:D30 A40:D40 A43:D43 A45:D45 A52:D52 A56:D56 A59:D59 A64:D64 A70:D70 A75:D75 A77:A84 A85:D85 A90:D90 A96:D96 A102:D102 A108:D108 G109:G1048576</xm:sqref>
        </x14:conditionalFormatting>
        <x14:conditionalFormatting xmlns:xm="http://schemas.microsoft.com/office/excel/2006/main">
          <x14:cfRule type="cellIs" priority="108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11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110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m:sqref>E4:E8 E10:E14 E16:E18 E20:E21 E23:E25 E27:E29 E31:E39 E103:E107 E109:E1048576</xm:sqref>
        </x14:conditionalFormatting>
        <x14:conditionalFormatting xmlns:xm="http://schemas.microsoft.com/office/excel/2006/main">
          <x14:cfRule type="cellIs" priority="79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77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78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83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82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81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70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71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69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51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50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9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54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3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5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59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58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7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E60:E63</xm:sqref>
        </x14:conditionalFormatting>
        <x14:conditionalFormatting xmlns:xm="http://schemas.microsoft.com/office/excel/2006/main">
          <x14:cfRule type="cellIs" priority="61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3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62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m:sqref>E65:E69</xm:sqref>
        </x14:conditionalFormatting>
        <x14:conditionalFormatting xmlns:xm="http://schemas.microsoft.com/office/excel/2006/main">
          <x14:cfRule type="cellIs" priority="66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7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65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E71:E74</xm:sqref>
        </x14:conditionalFormatting>
        <x14:conditionalFormatting xmlns:xm="http://schemas.microsoft.com/office/excel/2006/main">
          <x14:cfRule type="cellIs" priority="20" operator="equal" id="{5EE1483C-C8AF-4BC8-96C2-1FBDBB50C066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19" operator="equal" id="{CAD63670-76D8-46C3-9428-FF1328E16D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8" operator="equal" id="{42B27148-AE7C-4BA1-B993-B3037B69F92A}">
            <xm:f>Restrictions!$A$1</xm:f>
            <x14:dxf>
              <fill>
                <patternFill>
                  <bgColor rgb="FF00B050"/>
                </patternFill>
              </fill>
            </x14:dxf>
          </x14:cfRule>
          <xm:sqref>E76:E84</xm:sqref>
        </x14:conditionalFormatting>
        <x14:conditionalFormatting xmlns:xm="http://schemas.microsoft.com/office/excel/2006/main">
          <x14:cfRule type="cellIs" priority="24" operator="equal" id="{F801D24C-AFDA-4757-9BC6-FB24B4DE466D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3" operator="equal" id="{8A959092-8A6B-4A91-99D1-8110E43AA729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5" operator="equal" id="{8CF84F96-ED65-491E-B676-DA2F761CE9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E86:E89</xm:sqref>
        </x14:conditionalFormatting>
        <x14:conditionalFormatting xmlns:xm="http://schemas.microsoft.com/office/excel/2006/main">
          <x14:cfRule type="cellIs" priority="2" operator="equal" id="{92E62023-F404-4026-AD69-5B76EB0BDAE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" operator="equal" id="{9E114EAB-BD08-4433-A88A-51FDBB871F0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" operator="equal" id="{5CAB61E4-56FF-4285-A4C9-A33737017E3A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E91:E95</xm:sqref>
        </x14:conditionalFormatting>
        <x14:conditionalFormatting xmlns:xm="http://schemas.microsoft.com/office/excel/2006/main">
          <x14:cfRule type="cellIs" priority="6" operator="equal" id="{A66F7540-0CD1-4EF9-B347-2CABE04E932F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8" operator="equal" id="{59C9B578-9F2D-494D-BED9-807E89EADAB8}">
            <xm:f>Restrictions!$D$1</xm:f>
            <x14:dxf>
              <fill>
                <patternFill>
                  <bgColor rgb="FFFF0000"/>
                </patternFill>
              </fill>
            </x14:dxf>
          </x14:cfRule>
          <x14:cfRule type="cellIs" priority="7" operator="equal" id="{E10A4C2F-1FA6-426F-A318-4C7EFBFBAD06}">
            <xm:f>Restrictions!$C$1</xm:f>
            <x14:dxf>
              <fill>
                <patternFill>
                  <bgColor rgb="FFFFC000"/>
                </patternFill>
              </fill>
            </x14:dxf>
          </x14:cfRule>
          <xm:sqref>E97:E101</xm:sqref>
        </x14:conditionalFormatting>
        <x14:conditionalFormatting xmlns:xm="http://schemas.microsoft.com/office/excel/2006/main">
          <x14:cfRule type="containsText" priority="105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103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102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101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100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80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48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52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F57:F58</xm:sqref>
        </x14:conditionalFormatting>
        <x14:conditionalFormatting xmlns:xm="http://schemas.microsoft.com/office/excel/2006/main">
          <x14:cfRule type="containsText" priority="56" operator="containsText" id="{C331D7E9-51D1-4558-86A6-2DDD97E5F51B}">
            <xm:f>NOT(ISERROR(SEARCH(Restrictions!$B$1,F60)))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F60 F61:G62 F63</xm:sqref>
        </x14:conditionalFormatting>
        <x14:conditionalFormatting xmlns:xm="http://schemas.microsoft.com/office/excel/2006/main">
          <x14:cfRule type="containsText" priority="64" operator="containsText" id="{A87BC3C4-539A-4D6D-94C0-DF4DFEA06C8A}">
            <xm:f>NOT(ISERROR(SEARCH(Restrictions!$B$1,F71)))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F71 F72:G74</xm:sqref>
        </x14:conditionalFormatting>
        <x14:conditionalFormatting xmlns:xm="http://schemas.microsoft.com/office/excel/2006/main">
          <x14:cfRule type="containsText" priority="21" operator="containsText" id="{94391AE6-F1AE-42D1-AF78-4812D68E41C4}">
            <xm:f>NOT(ISERROR(SEARCH(Restrictions!$B$1,F84)))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F84</xm:sqref>
        </x14:conditionalFormatting>
        <x14:conditionalFormatting xmlns:xm="http://schemas.microsoft.com/office/excel/2006/main">
          <x14:cfRule type="containsText" priority="104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99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88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76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68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60" operator="containsText" id="{FBCB4E68-F50D-4BE4-8CEE-A9CE7EAE06EE}">
            <xm:f>NOT(ISERROR(SEARCH(Restrictions!$B$1,F65)))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F65:G69</xm:sqref>
        </x14:conditionalFormatting>
        <x14:conditionalFormatting xmlns:xm="http://schemas.microsoft.com/office/excel/2006/main">
          <x14:cfRule type="containsText" priority="34" operator="containsText" id="{3688DB4D-873A-4169-BE4C-08434A027D62}">
            <xm:f>NOT(ISERROR(SEARCH(Restrictions!$B$1,F76)))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F76:G76 F77 F78:G79 F80</xm:sqref>
        </x14:conditionalFormatting>
        <x14:conditionalFormatting xmlns:xm="http://schemas.microsoft.com/office/excel/2006/main">
          <x14:cfRule type="containsText" priority="27" operator="containsText" id="{1CA0FC1F-6CFD-462C-912C-B25E380596FE}">
            <xm:f>NOT(ISERROR(SEARCH(Restrictions!$B$1,F81)))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F81:G83</xm:sqref>
        </x14:conditionalFormatting>
        <x14:conditionalFormatting xmlns:xm="http://schemas.microsoft.com/office/excel/2006/main">
          <x14:cfRule type="containsText" priority="14" operator="containsText" id="{6EAE5B84-F778-418F-A1B7-BC9BA100112D}">
            <xm:f>NOT(ISERROR(SEARCH(Restrictions!$B$1,F86)))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F86:G89</xm:sqref>
        </x14:conditionalFormatting>
        <x14:conditionalFormatting xmlns:xm="http://schemas.microsoft.com/office/excel/2006/main">
          <x14:cfRule type="containsText" priority="1" operator="containsText" id="{49774D53-9CD8-4DDA-86D7-61DDC39694A2}">
            <xm:f>NOT(ISERROR(SEARCH(Restrictions!$B$1,F91)))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F91:G95</xm:sqref>
        </x14:conditionalFormatting>
        <x14:conditionalFormatting xmlns:xm="http://schemas.microsoft.com/office/excel/2006/main">
          <x14:cfRule type="containsText" priority="5" operator="containsText" id="{EC18E800-531E-417C-9061-1973EA038CA3}">
            <xm:f>NOT(ISERROR(SEARCH(Restrictions!$B$1,F97)))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F97:G101</xm:sqref>
        </x14:conditionalFormatting>
        <x14:conditionalFormatting xmlns:xm="http://schemas.microsoft.com/office/excel/2006/main">
          <x14:cfRule type="containsText" priority="98" operator="containsText" id="{2F0F41F7-8C93-48A6-B013-C45F8E29AE34}">
            <xm:f>NOT(ISERROR(SEARCH(Restrictions!$B$1,F103)))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F103:G107</xm:sqref>
        </x14:conditionalFormatting>
        <x14:conditionalFormatting xmlns:xm="http://schemas.microsoft.com/office/excel/2006/main">
          <x14:cfRule type="cellIs" priority="97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96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95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94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93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92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91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90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75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74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73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47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46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  <x14:conditionalFormatting xmlns:xm="http://schemas.microsoft.com/office/excel/2006/main">
          <x14:cfRule type="cellIs" priority="45" operator="equal" id="{EBD16DC6-D1FA-4FC5-B74B-CA3CF041367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G57:G58</xm:sqref>
        </x14:conditionalFormatting>
        <x14:conditionalFormatting xmlns:xm="http://schemas.microsoft.com/office/excel/2006/main">
          <x14:cfRule type="cellIs" priority="44" operator="equal" id="{CB5C53FD-3D5D-4030-A78E-D6ACDDA5D5F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cellIs" priority="43" operator="equal" id="{28414CE1-4551-493E-98F2-E4708C3326DE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G63</xm:sqref>
        </x14:conditionalFormatting>
        <x14:conditionalFormatting xmlns:xm="http://schemas.microsoft.com/office/excel/2006/main">
          <x14:cfRule type="cellIs" priority="42" operator="equal" id="{19A160C2-6897-43F9-AB25-0B60E506490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G71</xm:sqref>
        </x14:conditionalFormatting>
        <x14:conditionalFormatting xmlns:xm="http://schemas.microsoft.com/office/excel/2006/main">
          <x14:cfRule type="cellIs" priority="17" operator="equal" id="{C198F442-0CED-465D-B844-BD476FA91AE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G76:G84</xm:sqref>
        </x14:conditionalFormatting>
        <x14:conditionalFormatting xmlns:xm="http://schemas.microsoft.com/office/excel/2006/main">
          <x14:cfRule type="cellIs" priority="15" operator="equal" id="{B78ED6C4-4FF5-4C26-8AB0-814AD0D37A3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G86:G87</xm:sqref>
        </x14:conditionalFormatting>
        <x14:conditionalFormatting xmlns:xm="http://schemas.microsoft.com/office/excel/2006/main">
          <x14:cfRule type="cellIs" priority="13" operator="equal" id="{5241F369-7025-4EA1-9AA0-9B9DA72E187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G89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E109:E1048576 E27:E29 E23:E25 E103:E107 E31:E39 E41:E42 E44 E46:E51 E71:E74 E53:E55 E60:E63 E57:E58 E65:E69 E76:E84 E86:E89 E97:E101 E91:E95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9</v>
      </c>
      <c r="B1" t="s">
        <v>20</v>
      </c>
      <c r="C1" t="s">
        <v>10</v>
      </c>
      <c r="D1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2026-02-10T10:13:49Z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