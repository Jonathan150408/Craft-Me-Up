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DDE89EA2-E2B4-4883-B3B4-D68BEAB1281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18" l="1"/>
  <c r="D43" i="18"/>
  <c r="D51" i="18"/>
  <c r="D57" i="18"/>
  <c r="D40" i="18"/>
  <c r="D30" i="18"/>
  <c r="D26" i="18"/>
  <c r="D22" i="18"/>
  <c r="D19" i="18"/>
  <c r="D15" i="18"/>
  <c r="D9" i="18"/>
  <c r="C58" i="18" l="1"/>
</calcChain>
</file>

<file path=xl/sharedStrings.xml><?xml version="1.0" encoding="utf-8"?>
<sst xmlns="http://schemas.openxmlformats.org/spreadsheetml/2006/main" count="186" uniqueCount="100">
  <si>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</si>
  <si>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</si>
  <si>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</si>
  <si>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</si>
  <si>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</si>
  <si>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</si>
  <si>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</si>
  <si>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</si>
  <si>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</si>
  <si>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</si>
  <si>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</si>
  <si>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</si>
  <si>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</si>
  <si>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</si>
  <si>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</si>
  <si>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</si>
  <si>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</si>
  <si>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</si>
  <si>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</si>
  <si>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</si>
  <si>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</si>
  <si>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</si>
  <si>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</si>
  <si>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</si>
  <si>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</si>
  <si>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</si>
  <si>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</si>
  <si>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</si>
  <si>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</si>
  <si>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</si>
  <si>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</si>
  <si>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</si>
  <si>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</si>
  <si>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</si>
  <si>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</si>
  <si>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</si>
  <si>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</si>
  <si>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</si>
  <si>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</si>
  <si>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</si>
  <si>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</si>
  <si>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</si>
  <si>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</si>
  <si>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</si>
  <si>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</si>
  <si>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</si>
  <si>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</si>
  <si>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</si>
  <si>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</si>
  <si>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</si>
  <si>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</si>
  <si>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</si>
  <si>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</si>
  <si>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</si>
  <si>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</si>
  <si>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</si>
  <si>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</si>
  <si>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</si>
  <si>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</si>
  <si>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</si>
  <si>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</si>
  <si>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</si>
  <si>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</si>
  <si>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</si>
  <si>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</si>
  <si>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</si>
  <si>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</si>
  <si>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</si>
  <si>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</si>
  <si>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</si>
  <si>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</si>
  <si>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</si>
  <si>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</si>
  <si>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</si>
  <si>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</si>
  <si>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</si>
  <si>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</si>
  <si>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</si>
  <si>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</si>
  <si>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</si>
  <si>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</si>
  <si>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</si>
  <si>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</si>
  <si>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Jour 9</t>
  </si>
  <si>
    <t>Jour 10</t>
  </si>
  <si>
    <t>Jour 11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</si>
  <si>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</si>
  <si>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</si>
  <si>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</si>
  <si>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</si>
  <si>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</si>
  <si>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</si>
  <si>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</si>
  <si>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</si>
  <si>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</si>
  <si>
    <t>Getting better sprites, and renaming them in the code</t>
  </si>
  <si>
    <t>Images/Coding</t>
  </si>
  <si>
    <t>Re-adding health bar visuals (obstacle, characters) and creating a better GenerateWaves()</t>
  </si>
  <si>
    <t>Creating better collisions</t>
  </si>
  <si>
    <t>Implemented a background image to the 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</si>
</sst>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41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60"/>
  <sheetViews>
    <sheetView tabSelected="1" view="pageBreakPreview" zoomScale="85" zoomScaleNormal="100" zoomScaleSheetLayoutView="85" workbookViewId="0">
      <pane xSplit="3" ySplit="5" topLeftCell="D36" activePane="bottomRight" state="frozen"/>
      <selection pane="topRight" activeCell="D1" sqref="D1"/>
      <selection pane="bottomLeft" activeCell="A2" sqref="A2"/>
      <selection pane="bottomRight" activeCell="A51" sqref="A51:XFD51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6" t="s">
        <v>27</v>
      </c>
      <c r="C1" s="37"/>
      <c r="D1" s="34" t="s">
        <v>1</v>
      </c>
      <c r="E1" s="35"/>
      <c r="F1" s="32" t="s">
        <v>29</v>
      </c>
      <c r="G1" s="33"/>
    </row>
    <row r="2" spans="1:7" ht="21" customHeight="1" thickBot="1" x14ac:dyDescent="0.3">
      <c r="A2" s="16" t="s">
        <v>2</v>
      </c>
      <c r="B2" s="36" t="s">
        <v>28</v>
      </c>
      <c r="C2" s="37"/>
      <c r="D2" s="34" t="s">
        <v>3</v>
      </c>
      <c r="E2" s="35"/>
      <c r="F2" s="32" t="s">
        <v>4</v>
      </c>
      <c r="G2" s="33"/>
    </row>
    <row r="3" spans="1:7" ht="21" customHeight="1" thickBot="1" x14ac:dyDescent="0.3">
      <c r="A3" s="16" t="s">
        <v>5</v>
      </c>
      <c r="B3" s="36" t="s">
        <v>31</v>
      </c>
      <c r="C3" s="37"/>
      <c r="D3" s="34" t="s">
        <v>6</v>
      </c>
      <c r="E3" s="35"/>
      <c r="F3" s="36" t="s">
        <v>38</v>
      </c>
      <c r="G3" s="37"/>
    </row>
    <row r="4" spans="1:7" ht="21" customHeight="1" thickBot="1" x14ac:dyDescent="0.3">
      <c r="A4" s="16" t="s">
        <v>7</v>
      </c>
      <c r="B4" s="36" t="s">
        <v>30</v>
      </c>
      <c r="C4" s="40"/>
      <c r="D4" s="40"/>
      <c r="E4" s="40"/>
      <c r="F4" s="40"/>
      <c r="G4" s="37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27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28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28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38">
        <f>SUM(C6:C8)</f>
        <v>125</v>
      </c>
      <c r="E9" s="38"/>
      <c r="F9" s="38"/>
      <c r="G9" s="39"/>
    </row>
    <row r="10" spans="1:7" ht="18" customHeight="1" x14ac:dyDescent="0.25">
      <c r="A10" s="4" t="s">
        <v>39</v>
      </c>
      <c r="B10" s="27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28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28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28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31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38">
        <f>SUM(C10:C14)</f>
        <v>175</v>
      </c>
      <c r="E15" s="38"/>
      <c r="F15" s="38"/>
      <c r="G15" s="39"/>
    </row>
    <row r="16" spans="1:7" ht="18" customHeight="1" x14ac:dyDescent="0.25">
      <c r="A16" s="4" t="s">
        <v>56</v>
      </c>
      <c r="B16" s="27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28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30" customHeight="1" thickBot="1" x14ac:dyDescent="0.3">
      <c r="A18" s="6" t="s">
        <v>53</v>
      </c>
      <c r="B18" s="28"/>
      <c r="C18" s="7">
        <v>45</v>
      </c>
      <c r="D18" s="8" t="s">
        <v>61</v>
      </c>
      <c r="E18" s="8" t="s">
        <v>34</v>
      </c>
      <c r="F18" s="23">
        <v>0.66319444444444442</v>
      </c>
      <c r="G18" s="8" t="s">
        <v>63</v>
      </c>
    </row>
    <row r="19" spans="1:7" ht="18" customHeight="1" thickBot="1" x14ac:dyDescent="0.3">
      <c r="A19" s="11" t="s">
        <v>12</v>
      </c>
      <c r="B19" s="17" t="s">
        <v>21</v>
      </c>
      <c r="C19" s="17" t="s">
        <v>18</v>
      </c>
      <c r="D19" s="38">
        <f>SUM(C16:C18)</f>
        <v>145</v>
      </c>
      <c r="E19" s="38"/>
      <c r="F19" s="38"/>
      <c r="G19" s="39"/>
    </row>
    <row r="20" spans="1:7" ht="58.5" customHeight="1" x14ac:dyDescent="0.25">
      <c r="A20" s="4" t="s">
        <v>62</v>
      </c>
      <c r="B20" s="27">
        <v>45972</v>
      </c>
      <c r="C20" s="5"/>
      <c r="D20" s="8" t="s">
        <v>64</v>
      </c>
      <c r="E20" s="8" t="s">
        <v>34</v>
      </c>
      <c r="F20" s="23">
        <v>0.3923611111111111</v>
      </c>
      <c r="G20" s="8" t="s">
        <v>65</v>
      </c>
    </row>
    <row r="21" spans="1:7" ht="18" customHeight="1" thickBot="1" x14ac:dyDescent="0.3">
      <c r="A21" s="6" t="s">
        <v>53</v>
      </c>
      <c r="B21" s="28"/>
      <c r="C21" s="7">
        <v>105</v>
      </c>
      <c r="D21" s="8" t="s">
        <v>61</v>
      </c>
      <c r="E21" s="8" t="s">
        <v>34</v>
      </c>
      <c r="F21" s="25">
        <v>0.47569444444444442</v>
      </c>
      <c r="G21" s="8" t="s">
        <v>66</v>
      </c>
    </row>
    <row r="22" spans="1:7" ht="18" customHeight="1" thickBot="1" x14ac:dyDescent="0.3">
      <c r="A22" s="11" t="s">
        <v>12</v>
      </c>
      <c r="B22" s="17" t="s">
        <v>22</v>
      </c>
      <c r="C22" s="17" t="s">
        <v>18</v>
      </c>
      <c r="D22" s="38">
        <f>SUM(C20:C21)</f>
        <v>105</v>
      </c>
      <c r="E22" s="38"/>
      <c r="F22" s="38"/>
      <c r="G22" s="39"/>
    </row>
    <row r="23" spans="1:7" ht="30" customHeight="1" x14ac:dyDescent="0.25">
      <c r="A23" s="4" t="s">
        <v>53</v>
      </c>
      <c r="B23" s="27">
        <v>45978</v>
      </c>
      <c r="C23" s="5">
        <v>105</v>
      </c>
      <c r="D23" s="8" t="s">
        <v>61</v>
      </c>
      <c r="E23" s="8" t="s">
        <v>34</v>
      </c>
      <c r="F23" s="23">
        <v>0.63194444444444442</v>
      </c>
      <c r="G23" s="8" t="s">
        <v>67</v>
      </c>
    </row>
    <row r="24" spans="1:7" ht="30" customHeight="1" x14ac:dyDescent="0.25">
      <c r="A24" s="6" t="s">
        <v>53</v>
      </c>
      <c r="B24" s="28"/>
      <c r="C24" s="7">
        <v>10</v>
      </c>
      <c r="D24" s="8" t="s">
        <v>68</v>
      </c>
      <c r="E24" s="8" t="s">
        <v>34</v>
      </c>
      <c r="F24" s="23">
        <v>0.63888888888888895</v>
      </c>
      <c r="G24" s="19"/>
    </row>
    <row r="25" spans="1:7" ht="18" customHeight="1" thickBot="1" x14ac:dyDescent="0.3">
      <c r="A25" s="9" t="s">
        <v>53</v>
      </c>
      <c r="B25" s="28"/>
      <c r="C25" s="9">
        <v>25</v>
      </c>
      <c r="D25" s="8" t="s">
        <v>69</v>
      </c>
      <c r="E25" s="10" t="s">
        <v>34</v>
      </c>
      <c r="F25" s="23">
        <v>0.65625</v>
      </c>
      <c r="G25" s="8" t="s">
        <v>70</v>
      </c>
    </row>
    <row r="26" spans="1:7" ht="18" customHeight="1" thickBot="1" x14ac:dyDescent="0.3">
      <c r="A26" s="11" t="s">
        <v>12</v>
      </c>
      <c r="B26" s="17" t="s">
        <v>23</v>
      </c>
      <c r="C26" s="17" t="s">
        <v>18</v>
      </c>
      <c r="D26" s="38">
        <f>SUM(C23:C25)</f>
        <v>140</v>
      </c>
      <c r="E26" s="38"/>
      <c r="F26" s="38"/>
      <c r="G26" s="39"/>
    </row>
    <row r="27" spans="1:7" ht="58.5" customHeight="1" x14ac:dyDescent="0.25">
      <c r="A27" s="6" t="s">
        <v>53</v>
      </c>
      <c r="B27" s="27">
        <v>45979</v>
      </c>
      <c r="C27" s="5">
        <v>100</v>
      </c>
      <c r="D27" s="8" t="s">
        <v>71</v>
      </c>
      <c r="E27" s="8" t="s">
        <v>34</v>
      </c>
      <c r="F27" s="23">
        <v>0.4375</v>
      </c>
      <c r="G27" s="8" t="s">
        <v>73</v>
      </c>
    </row>
    <row r="28" spans="1:7" ht="30" customHeight="1" x14ac:dyDescent="0.25">
      <c r="A28" s="6" t="s">
        <v>53</v>
      </c>
      <c r="B28" s="28"/>
      <c r="C28" s="7">
        <v>45</v>
      </c>
      <c r="D28" s="8" t="s">
        <v>72</v>
      </c>
      <c r="E28" s="8" t="s">
        <v>34</v>
      </c>
      <c r="F28" s="23">
        <v>0.46875</v>
      </c>
      <c r="G28" s="8" t="s">
        <v>74</v>
      </c>
    </row>
    <row r="29" spans="1:7" ht="30" customHeight="1" thickBot="1" x14ac:dyDescent="0.3">
      <c r="A29" s="6" t="s">
        <v>53</v>
      </c>
      <c r="B29" s="28"/>
      <c r="C29" s="7">
        <v>10</v>
      </c>
      <c r="D29" s="8" t="s">
        <v>75</v>
      </c>
      <c r="E29" s="8" t="s">
        <v>34</v>
      </c>
      <c r="F29" s="23">
        <v>0.47569444444444442</v>
      </c>
      <c r="G29" s="19"/>
    </row>
    <row r="30" spans="1:7" ht="18" customHeight="1" thickBot="1" x14ac:dyDescent="0.3">
      <c r="A30" s="11" t="s">
        <v>12</v>
      </c>
      <c r="B30" s="17" t="s">
        <v>24</v>
      </c>
      <c r="C30" s="17" t="s">
        <v>18</v>
      </c>
      <c r="D30" s="38">
        <f>SUM(C27:C29)</f>
        <v>155</v>
      </c>
      <c r="E30" s="38"/>
      <c r="F30" s="38"/>
      <c r="G30" s="39"/>
    </row>
    <row r="31" spans="1:7" ht="18" customHeight="1" x14ac:dyDescent="0.25">
      <c r="A31" s="4" t="s">
        <v>53</v>
      </c>
      <c r="B31" s="27">
        <v>45985</v>
      </c>
      <c r="C31" s="5">
        <v>10</v>
      </c>
      <c r="D31" s="8" t="s">
        <v>76</v>
      </c>
      <c r="E31" s="8" t="s">
        <v>34</v>
      </c>
      <c r="F31" s="23">
        <v>0.55555555555555558</v>
      </c>
      <c r="G31" s="19"/>
    </row>
    <row r="32" spans="1:7" ht="30" customHeight="1" x14ac:dyDescent="0.25">
      <c r="A32" s="6" t="s">
        <v>53</v>
      </c>
      <c r="B32" s="28"/>
      <c r="C32" s="7">
        <v>20</v>
      </c>
      <c r="D32" s="8" t="s">
        <v>77</v>
      </c>
      <c r="E32" s="8" t="s">
        <v>34</v>
      </c>
      <c r="F32" s="23">
        <v>0.56944444444444442</v>
      </c>
      <c r="G32" s="8" t="s">
        <v>78</v>
      </c>
    </row>
    <row r="33" spans="1:7" ht="18" customHeight="1" x14ac:dyDescent="0.25">
      <c r="A33" s="6" t="s">
        <v>53</v>
      </c>
      <c r="B33" s="28"/>
      <c r="C33" s="7">
        <v>30</v>
      </c>
      <c r="D33" s="8" t="s">
        <v>79</v>
      </c>
      <c r="E33" s="8" t="s">
        <v>34</v>
      </c>
      <c r="F33" s="23">
        <v>0.59027777777777779</v>
      </c>
      <c r="G33" s="19"/>
    </row>
    <row r="34" spans="1:7" ht="30" customHeight="1" x14ac:dyDescent="0.25">
      <c r="A34" s="6" t="s">
        <v>53</v>
      </c>
      <c r="B34" s="28"/>
      <c r="C34" s="7">
        <v>15</v>
      </c>
      <c r="D34" s="8" t="s">
        <v>82</v>
      </c>
      <c r="E34" s="8" t="s">
        <v>34</v>
      </c>
      <c r="F34" s="23">
        <v>0.60069444444444442</v>
      </c>
      <c r="G34" s="19"/>
    </row>
    <row r="35" spans="1:7" ht="30" customHeight="1" x14ac:dyDescent="0.25">
      <c r="A35" s="6" t="s">
        <v>53</v>
      </c>
      <c r="B35" s="28"/>
      <c r="C35" s="7">
        <v>10</v>
      </c>
      <c r="D35" s="8" t="s">
        <v>81</v>
      </c>
      <c r="E35" s="8" t="s">
        <v>34</v>
      </c>
      <c r="F35" s="23">
        <v>0.60763888888888895</v>
      </c>
      <c r="G35" s="19"/>
    </row>
    <row r="36" spans="1:7" ht="29.25" customHeight="1" x14ac:dyDescent="0.25">
      <c r="A36" s="6" t="s">
        <v>53</v>
      </c>
      <c r="B36" s="28"/>
      <c r="C36" s="7">
        <v>10</v>
      </c>
      <c r="D36" s="8" t="s">
        <v>80</v>
      </c>
      <c r="E36" s="8" t="s">
        <v>34</v>
      </c>
      <c r="F36" s="23">
        <v>0.61458333333333337</v>
      </c>
      <c r="G36" s="19"/>
    </row>
    <row r="37" spans="1:7" ht="30" customHeight="1" x14ac:dyDescent="0.25">
      <c r="A37" s="6" t="s">
        <v>53</v>
      </c>
      <c r="B37" s="28"/>
      <c r="C37" s="7">
        <v>30</v>
      </c>
      <c r="D37" s="8" t="s">
        <v>86</v>
      </c>
      <c r="E37" s="8" t="s">
        <v>34</v>
      </c>
      <c r="F37" s="23">
        <v>0.64583333333333337</v>
      </c>
      <c r="G37" s="19"/>
    </row>
    <row r="38" spans="1:7" ht="18" customHeight="1" x14ac:dyDescent="0.25">
      <c r="A38" s="6" t="s">
        <v>47</v>
      </c>
      <c r="B38" s="28"/>
      <c r="C38" s="7">
        <v>5</v>
      </c>
      <c r="D38" s="8" t="s">
        <v>87</v>
      </c>
      <c r="E38" s="8" t="s">
        <v>34</v>
      </c>
      <c r="F38" s="23">
        <v>0.64930555555555558</v>
      </c>
      <c r="G38" s="19"/>
    </row>
    <row r="39" spans="1:7" ht="18" customHeight="1" thickBot="1" x14ac:dyDescent="0.3">
      <c r="A39" s="6" t="s">
        <v>50</v>
      </c>
      <c r="B39" s="28"/>
      <c r="C39" s="7">
        <v>10</v>
      </c>
      <c r="D39" s="8" t="s">
        <v>88</v>
      </c>
      <c r="E39" s="8" t="s">
        <v>45</v>
      </c>
      <c r="F39" s="23">
        <v>0.65625</v>
      </c>
      <c r="G39" s="8" t="s">
        <v>89</v>
      </c>
    </row>
    <row r="40" spans="1:7" ht="18" customHeight="1" thickBot="1" x14ac:dyDescent="0.3">
      <c r="A40" s="11" t="s">
        <v>12</v>
      </c>
      <c r="B40" s="17" t="s">
        <v>25</v>
      </c>
      <c r="C40" s="17" t="s">
        <v>18</v>
      </c>
      <c r="D40" s="38">
        <f>SUM(C31:C39)</f>
        <v>140</v>
      </c>
      <c r="E40" s="38"/>
      <c r="F40" s="38"/>
      <c r="G40" s="39"/>
    </row>
    <row r="41" spans="1:7" ht="18" customHeight="1" x14ac:dyDescent="0.25">
      <c r="A41" s="4" t="s">
        <v>50</v>
      </c>
      <c r="B41" s="27">
        <v>45986</v>
      </c>
      <c r="C41" s="5">
        <v>15</v>
      </c>
      <c r="D41" s="8" t="s">
        <v>90</v>
      </c>
      <c r="E41" s="8" t="s">
        <v>34</v>
      </c>
      <c r="F41" s="23">
        <v>0.34375</v>
      </c>
      <c r="G41" s="19"/>
    </row>
    <row r="42" spans="1:7" ht="48" customHeight="1" thickBot="1" x14ac:dyDescent="0.3">
      <c r="A42" s="6" t="s">
        <v>53</v>
      </c>
      <c r="B42" s="28"/>
      <c r="C42" s="7">
        <v>175</v>
      </c>
      <c r="D42" s="8" t="s">
        <v>91</v>
      </c>
      <c r="E42" s="8" t="s">
        <v>45</v>
      </c>
      <c r="F42" s="25">
        <v>0.47569444444444442</v>
      </c>
      <c r="G42" s="8" t="s">
        <v>92</v>
      </c>
    </row>
    <row r="43" spans="1:7" ht="18" customHeight="1" thickBot="1" x14ac:dyDescent="0.3">
      <c r="A43" s="11" t="s">
        <v>12</v>
      </c>
      <c r="B43" s="17" t="s">
        <v>26</v>
      </c>
      <c r="C43" s="17" t="s">
        <v>18</v>
      </c>
      <c r="D43" s="38">
        <f>SUM(C41:C42)</f>
        <v>190</v>
      </c>
      <c r="E43" s="38"/>
      <c r="F43" s="38"/>
      <c r="G43" s="39"/>
    </row>
    <row r="44" spans="1:7" ht="48.75" customHeight="1" thickBot="1" x14ac:dyDescent="0.3">
      <c r="A44" s="4" t="s">
        <v>53</v>
      </c>
      <c r="B44" s="26">
        <v>45992</v>
      </c>
      <c r="C44" s="5">
        <v>140</v>
      </c>
      <c r="D44" s="8" t="s">
        <v>93</v>
      </c>
      <c r="E44" s="8" t="s">
        <v>45</v>
      </c>
      <c r="F44" s="23">
        <v>0.65625</v>
      </c>
      <c r="G44" s="8" t="s">
        <v>94</v>
      </c>
    </row>
    <row r="45" spans="1:7" ht="18" customHeight="1" thickBot="1" x14ac:dyDescent="0.3">
      <c r="A45" s="11" t="s">
        <v>12</v>
      </c>
      <c r="B45" s="17" t="s">
        <v>83</v>
      </c>
      <c r="C45" s="17" t="s">
        <v>18</v>
      </c>
      <c r="D45" s="38">
        <f>SUM(C44:C44)</f>
        <v>140</v>
      </c>
      <c r="E45" s="38"/>
      <c r="F45" s="38"/>
      <c r="G45" s="39"/>
    </row>
    <row r="46" spans="1:7" ht="18" customHeight="1" x14ac:dyDescent="0.25">
      <c r="A46" s="4" t="s">
        <v>53</v>
      </c>
      <c r="B46" s="27">
        <v>45993</v>
      </c>
      <c r="C46" s="5">
        <v>45</v>
      </c>
      <c r="D46" s="8" t="s">
        <v>93</v>
      </c>
      <c r="E46" s="8" t="s">
        <v>34</v>
      </c>
      <c r="F46" s="23">
        <v>0.36458333333333331</v>
      </c>
      <c r="G46" s="19"/>
    </row>
    <row r="47" spans="1:7" ht="30" customHeight="1" x14ac:dyDescent="0.25">
      <c r="A47" s="6" t="s">
        <v>96</v>
      </c>
      <c r="B47" s="28"/>
      <c r="C47" s="7">
        <v>75</v>
      </c>
      <c r="D47" s="8" t="s">
        <v>95</v>
      </c>
      <c r="E47" s="8" t="s">
        <v>34</v>
      </c>
      <c r="F47" s="23">
        <v>0.42708333333333331</v>
      </c>
      <c r="G47" s="19"/>
    </row>
    <row r="48" spans="1:7" ht="48" customHeight="1" x14ac:dyDescent="0.25">
      <c r="A48" s="6" t="s">
        <v>53</v>
      </c>
      <c r="B48" s="28"/>
      <c r="C48" s="7">
        <v>15</v>
      </c>
      <c r="D48" s="8" t="s">
        <v>97</v>
      </c>
      <c r="E48" s="8" t="s">
        <v>34</v>
      </c>
      <c r="F48" s="23">
        <v>0.4375</v>
      </c>
      <c r="G48" s="19"/>
    </row>
    <row r="49" spans="1:7" ht="18" customHeight="1" x14ac:dyDescent="0.25">
      <c r="A49" s="6" t="s">
        <v>53</v>
      </c>
      <c r="B49" s="28"/>
      <c r="C49" s="7">
        <v>10</v>
      </c>
      <c r="D49" s="8" t="s">
        <v>98</v>
      </c>
      <c r="E49" s="8" t="s">
        <v>34</v>
      </c>
      <c r="F49" s="23">
        <v>0.44444444444444442</v>
      </c>
      <c r="G49" s="19"/>
    </row>
    <row r="50" spans="1:7" ht="30" customHeight="1" thickBot="1" x14ac:dyDescent="0.3">
      <c r="A50" s="6" t="s">
        <v>53</v>
      </c>
      <c r="B50" s="28"/>
      <c r="C50" s="7">
        <v>10</v>
      </c>
      <c r="D50" s="8" t="s">
        <v>99</v>
      </c>
      <c r="E50" s="8" t="s">
        <v>34</v>
      </c>
      <c r="F50" s="23">
        <v>0.4513888888888889</v>
      </c>
      <c r="G50" s="19"/>
    </row>
    <row r="51" spans="1:7" ht="18" customHeight="1" thickBot="1" x14ac:dyDescent="0.3">
      <c r="A51" s="11" t="s">
        <v>12</v>
      </c>
      <c r="B51" s="17" t="s">
        <v>84</v>
      </c>
      <c r="C51" s="17" t="s">
        <v>18</v>
      </c>
      <c r="D51" s="38">
        <f>SUM(C46:C50)</f>
        <v>155</v>
      </c>
      <c r="E51" s="38"/>
      <c r="F51" s="38"/>
      <c r="G51" s="39"/>
    </row>
    <row r="52" spans="1:7" ht="18" customHeight="1" x14ac:dyDescent="0.25">
      <c r="A52" s="4"/>
      <c r="B52" s="27"/>
      <c r="C52" s="5"/>
      <c r="D52" s="8"/>
      <c r="E52" s="8"/>
      <c r="F52" s="22"/>
      <c r="G52" s="19"/>
    </row>
    <row r="53" spans="1:7" ht="18" customHeight="1" x14ac:dyDescent="0.25">
      <c r="A53" s="6"/>
      <c r="B53" s="28"/>
      <c r="C53" s="7"/>
      <c r="D53" s="8"/>
      <c r="E53" s="8"/>
      <c r="F53" s="22"/>
      <c r="G53" s="19"/>
    </row>
    <row r="54" spans="1:7" ht="18" customHeight="1" x14ac:dyDescent="0.25">
      <c r="A54" s="6"/>
      <c r="B54" s="28"/>
      <c r="C54" s="7"/>
      <c r="D54" s="8"/>
      <c r="E54" s="8"/>
      <c r="F54" s="7"/>
      <c r="G54" s="19"/>
    </row>
    <row r="55" spans="1:7" ht="18" customHeight="1" x14ac:dyDescent="0.25">
      <c r="A55" s="6"/>
      <c r="B55" s="28"/>
      <c r="C55" s="7"/>
      <c r="D55" s="8"/>
      <c r="E55" s="8"/>
      <c r="F55" s="7"/>
      <c r="G55" s="19"/>
    </row>
    <row r="56" spans="1:7" ht="18" customHeight="1" thickBot="1" x14ac:dyDescent="0.3">
      <c r="A56" s="9"/>
      <c r="B56" s="31"/>
      <c r="C56" s="9"/>
      <c r="D56" s="8"/>
      <c r="E56" s="10"/>
      <c r="F56" s="7"/>
      <c r="G56" s="19"/>
    </row>
    <row r="57" spans="1:7" ht="18" customHeight="1" thickBot="1" x14ac:dyDescent="0.3">
      <c r="A57" s="11" t="s">
        <v>12</v>
      </c>
      <c r="B57" s="17" t="s">
        <v>85</v>
      </c>
      <c r="C57" s="17" t="s">
        <v>18</v>
      </c>
      <c r="D57" s="38">
        <f>SUM(C52:C56)</f>
        <v>0</v>
      </c>
      <c r="E57" s="38"/>
      <c r="F57" s="38"/>
      <c r="G57" s="39"/>
    </row>
    <row r="58" spans="1:7" ht="21" customHeight="1" thickBot="1" x14ac:dyDescent="0.3">
      <c r="A58" s="29" t="s">
        <v>13</v>
      </c>
      <c r="B58" s="30"/>
      <c r="C58" s="12">
        <f>MROUND(SUM(C6:C57) /60,0.2)</f>
        <v>24.6</v>
      </c>
      <c r="D58" s="13"/>
      <c r="E58" s="18"/>
      <c r="F58" s="20"/>
      <c r="G58" s="14"/>
    </row>
    <row r="59" spans="1:7" x14ac:dyDescent="0.25">
      <c r="A59" s="15" t="s">
        <v>14</v>
      </c>
    </row>
    <row r="60" spans="1:7" x14ac:dyDescent="0.25">
      <c r="A60" s="15"/>
    </row>
  </sheetData>
  <mergeCells count="32">
    <mergeCell ref="D22:G22"/>
    <mergeCell ref="D26:G26"/>
    <mergeCell ref="D30:G30"/>
    <mergeCell ref="D40:G40"/>
    <mergeCell ref="D57:G57"/>
    <mergeCell ref="D51:G51"/>
    <mergeCell ref="D43:G43"/>
    <mergeCell ref="D45:G45"/>
    <mergeCell ref="D9:G9"/>
    <mergeCell ref="D15:G15"/>
    <mergeCell ref="D19:G19"/>
    <mergeCell ref="B4:G4"/>
    <mergeCell ref="B6:B8"/>
    <mergeCell ref="B10:B14"/>
    <mergeCell ref="B16:B18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0:B21"/>
    <mergeCell ref="B23:B25"/>
    <mergeCell ref="B27:B29"/>
    <mergeCell ref="A58:B58"/>
    <mergeCell ref="B31:B39"/>
    <mergeCell ref="B52:B56"/>
    <mergeCell ref="B46:B50"/>
    <mergeCell ref="B41:B42"/>
  </mergeCells>
  <dataValidations count="2">
    <dataValidation type="whole" operator="greaterThan" allowBlank="1" showInputMessage="1" showErrorMessage="1" errorTitle="Durée par tranche de 10min" error="Le nombre doit être de type entier" sqref="C52:C56 C27:C29 C23:C25 C16:C18 B6 C10:C14 C20:C21 C6:C8 C31:C39 C41:C42 C44 C46:C50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52:B56 B27:B29 B23:B25 B31:B39 B41:B42 B44 B46:B50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2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A52:E56 A58:E1048576 A44:E44 A41:E42 A1:D2 F1:F3 A3 D3 G4:G5 G7:G8 A9:D9 A15:D15 A19:D19 A22:D22 A26:D26 A30:D30 A40:D40 A43:D43 A45:D45 A51:D51 A57:D57 G58:G1048576 A46:E50</xm:sqref>
        </x14:conditionalFormatting>
        <x14:conditionalFormatting xmlns:xm="http://schemas.microsoft.com/office/excel/2006/main">
          <x14:cfRule type="cellIs" priority="41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3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4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E31:E39 E52:E56 E58:E1048576</xm:sqref>
        </x14:conditionalFormatting>
        <x14:conditionalFormatting xmlns:xm="http://schemas.microsoft.com/office/excel/2006/main">
          <x14:cfRule type="cellIs" priority="10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1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2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14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5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6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18" operator="equal" id="{1078C977-9C97-4C62-9B51-0ACFCEFF16B7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9" operator="equal" id="{C8F44381-9E3F-41A8-B780-789FB71729B2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0" operator="equal" id="{8B954690-3338-4C9D-94AB-D077188DE2BD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E46:E49</xm:sqref>
        </x14:conditionalFormatting>
        <x14:conditionalFormatting xmlns:xm="http://schemas.microsoft.com/office/excel/2006/main">
          <x14:cfRule type="containsText" priority="38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36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35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34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33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13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37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32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21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9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17" operator="containsText" id="{A9768957-7C49-4EEE-AEFF-F52C90BA7D29}">
            <xm:f>NOT(ISERROR(SEARCH(Restrictions!$B$1,G46)))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G46:G49</xm:sqref>
        </x14:conditionalFormatting>
        <x14:conditionalFormatting xmlns:xm="http://schemas.microsoft.com/office/excel/2006/main">
          <x14:cfRule type="containsText" priority="31" operator="containsText" id="{2F0F41F7-8C93-48A6-B013-C45F8E29AE34}">
            <xm:f>NOT(ISERROR(SEARCH(Restrictions!$B$1,F52)))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F52:G56</xm:sqref>
        </x14:conditionalFormatting>
        <x14:conditionalFormatting xmlns:xm="http://schemas.microsoft.com/office/excel/2006/main">
          <x14:cfRule type="cellIs" priority="30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29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28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27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26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25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24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23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8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7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6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  <x14:conditionalFormatting xmlns:xm="http://schemas.microsoft.com/office/excel/2006/main">
          <x14:cfRule type="containsText" priority="5" operator="containsText" id="{670AA369-23B3-423E-BBC6-44D0B56E67BC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F46:F49</xm:sqref>
        </x14:conditionalFormatting>
        <x14:conditionalFormatting xmlns:xm="http://schemas.microsoft.com/office/excel/2006/main">
          <x14:cfRule type="cellIs" priority="2" operator="equal" id="{55BA1703-E0F0-4534-AC5F-5524C52012B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" operator="equal" id="{8AA9BDE2-93E5-4C8F-8ABB-C8A37EF6C1F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" operator="equal" id="{7CBCFDCF-397F-4B71-B6B1-D6B8B3D995CF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E50</xm:sqref>
        </x14:conditionalFormatting>
        <x14:conditionalFormatting xmlns:xm="http://schemas.microsoft.com/office/excel/2006/main">
          <x14:cfRule type="containsText" priority="1" operator="containsText" id="{1E89304F-1BDF-40FA-83E9-2770D86CCD7D}">
            <xm:f>NOT(ISERROR(SEARCH(Restrictions!$B$1,F50)))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F50:G50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E58:E1048576 E27:E29 E23:E25 E52:E56 E31:E39 E41:E42 E44 E46:E50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2025-12-02T09:50:16Z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