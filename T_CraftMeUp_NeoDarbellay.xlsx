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CraftMeUp\Craft-Me-Up\"/>
    </mc:Choice>
  </mc:AlternateContent>
  <xr:revisionPtr revIDLastSave="0" documentId="13_ncr:1_{50A3B77B-B373-4D0F-BEA4-F5A5137E6DB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Journal!$A$1:$G$82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18" l="1"/>
  <c r="D59" i="18"/>
  <c r="D56" i="18"/>
  <c r="D70" i="18"/>
  <c r="D75" i="18"/>
  <c r="D45" i="18"/>
  <c r="D43" i="18"/>
  <c r="D52" i="18"/>
  <c r="D81" i="18"/>
  <c r="D40" i="18"/>
  <c r="D30" i="18"/>
  <c r="D26" i="18"/>
  <c r="D22" i="18"/>
  <c r="D19" i="18"/>
  <c r="D15" i="18"/>
  <c r="D9" i="18"/>
  <c r="C82" i="18" l="1"/>
</calcChain>
</file>

<file path=xl/sharedStrings.xml><?xml version="1.0" encoding="utf-8"?>
<sst xmlns="http://schemas.openxmlformats.org/spreadsheetml/2006/main" count="265" uniqueCount="130">
  <si>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</si>
  <si>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</si>
  <si>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</si>
  <si>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</si>
  <si>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</si>
  <si>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</si>
  <si>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</si>
  <si>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</si>
  <si>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</si>
  <si>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</si>
  <si>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</si>
  <si>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</si>
  <si>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</si>
  <si>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</si>
  <si>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</si>
  <si>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</si>
  <si>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</si>
  <si>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</si>
  <si>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</si>
  <si>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</si>
  <si>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</si>
  <si>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</si>
  <si>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</si>
  <si>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</si>
  <si>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</si>
  <si>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</si>
  <si>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</si>
  <si>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</si>
  <si>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</si>
  <si>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</si>
  <si>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</si>
  <si>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</si>
  <si>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</si>
  <si>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</si>
  <si>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</si>
  <si>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</si>
  <si>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</si>
  <si>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</si>
  <si>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</si>
  <si>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</si>
  <si>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</si>
  <si>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</si>
  <si>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</si>
  <si>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</si>
  <si>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</si>
  <si>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</si>
  <si>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</si>
  <si>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</si>
  <si>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</si>
  <si>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</si>
  <si>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</si>
  <si>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</si>
  <si>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</si>
  <si>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</si>
  <si>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</si>
  <si>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</si>
  <si>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</si>
  <si>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</si>
  <si>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</si>
  <si>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</si>
  <si>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</si>
  <si>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</si>
  <si>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</si>
  <si>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</si>
  <si>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</si>
  <si>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</si>
  <si>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</si>
  <si>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</si>
  <si>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</si>
  <si>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</si>
  <si>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</si>
  <si>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</si>
  <si>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</si>
  <si>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</si>
  <si>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</si>
  <si>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</si>
  <si>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</si>
  <si>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</si>
  <si>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</si>
  <si>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</si>
  <si>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</si>
  <si>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</si>
  <si>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</si>
  <si>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</si>
  <si>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</si>
  <si>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S. Oliveira and G. Bianco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</si>
  <si>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</si>
  <si>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</si>
  <si>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</si>
  <si>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</si>
  <si>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</si>
  <si>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</si>
  <si>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</si>
  <si>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</si>
  <si>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</si>
  <si>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</si>
  <si>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</si>
  <si>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</si>
  <si>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</si>
  <si>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</si>
  <si>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</si>
  <si>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</si>
  <si>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</si>
  <si>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</si>
  <si>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</si>
  <si>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</si>
  <si>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</si>
  <si>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</si>
  <si>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</si>
  <si>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</si>
  <si>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</si>
  <si>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</si>
  <si>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</si>
  <si>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</si>
  <si>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</si>
  <si>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Making some bosses ignore obstacles</t>
  </si>
  <si>
    <t>Fixing the pause button issues</t>
  </si>
  <si>
    <t>I also implemented DeltaTime movement</t>
  </si>
  <si>
    <t>Fixing some technical issues</t>
  </si>
  <si>
    <t>Adding sprites to the new boss types and making them work</t>
  </si>
  <si>
    <t>Reviewing the code</t>
  </si>
  <si>
    <t>Adding heart sprites to the game</t>
  </si>
  <si>
    <t>Fixing issues regarding enemy spawning and enemy shooting</t>
  </si>
  <si>
    <t>Making the skeletons smarter</t>
  </si>
  <si>
    <t>https://github.com/Jonathan150408/Craft-Me-Up/issues/7</t>
  </si>
  <si>
    <t>Implementing the pseudo-random map</t>
  </si>
  <si>
    <t>I made it so that isntead of being a grid of 8x8 chunks of 8x8 tiles, it's 16x16 chunks of 16x16 tiles, as that looked better</t>
  </si>
  <si>
    <t>Writing 2 new issues (#9 and #10)</t>
  </si>
  <si>
    <t>Implementing game window scale</t>
  </si>
  <si>
    <t>Working on the biomes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</si>
</sst>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2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>
      <alignment horizontal="center" vertical="center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2" fillId="0" borderId="5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6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athan150408/Craft-Me-Up/issues/7" TargetMode="External"/><Relationship Id="rId1" Type="http://schemas.openxmlformats.org/officeDocument/2006/relationships/hyperlink" Target="https://github.com/Jonathan150408/Craft-Me-Up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84"/>
  <sheetViews>
    <sheetView tabSelected="1" view="pageBreakPreview" zoomScaleNormal="100" zoomScaleSheetLayoutView="100" workbookViewId="0">
      <pane xSplit="3" ySplit="5" topLeftCell="D63" activePane="bottomRight" state="frozen"/>
      <selection pane="topRight" activeCell="D1" sqref="D1"/>
      <selection pane="bottomLeft" activeCell="A2" sqref="A2"/>
      <selection pane="bottomRight" activeCell="C75" sqref="C75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37" t="s">
        <v>3</v>
      </c>
      <c r="C1" s="38"/>
      <c r="D1" s="35" t="s">
        <v>87</v>
      </c>
      <c r="E1" s="36"/>
      <c r="F1" s="33" t="s">
        <v>5</v>
      </c>
      <c r="G1" s="34"/>
    </row>
    <row r="2" spans="1:7" ht="21" customHeight="1" thickBot="1" x14ac:dyDescent="0.3">
      <c r="A2" s="16" t="s">
        <v>83</v>
      </c>
      <c r="B2" s="37" t="s">
        <v>4</v>
      </c>
      <c r="C2" s="38"/>
      <c r="D2" s="35" t="s">
        <v>0</v>
      </c>
      <c r="E2" s="36"/>
      <c r="F2" s="33" t="s">
        <v>1</v>
      </c>
      <c r="G2" s="34"/>
    </row>
    <row r="3" spans="1:7" ht="21" customHeight="1" thickBot="1" x14ac:dyDescent="0.3">
      <c r="A3" s="16" t="s">
        <v>84</v>
      </c>
      <c r="B3" s="37" t="s">
        <v>85</v>
      </c>
      <c r="C3" s="38"/>
      <c r="D3" s="35" t="s">
        <v>88</v>
      </c>
      <c r="E3" s="36"/>
      <c r="F3" s="37" t="s">
        <v>13</v>
      </c>
      <c r="G3" s="38"/>
    </row>
    <row r="4" spans="1:7" ht="21" customHeight="1" thickBot="1" x14ac:dyDescent="0.3">
      <c r="A4" s="16" t="s">
        <v>86</v>
      </c>
      <c r="B4" s="37" t="s">
        <v>6</v>
      </c>
      <c r="C4" s="41"/>
      <c r="D4" s="41"/>
      <c r="E4" s="41"/>
      <c r="F4" s="41"/>
      <c r="G4" s="38"/>
    </row>
    <row r="5" spans="1:7" ht="21" customHeight="1" thickBot="1" x14ac:dyDescent="0.3">
      <c r="A5" s="2" t="s">
        <v>89</v>
      </c>
      <c r="B5" s="3" t="s">
        <v>2</v>
      </c>
      <c r="C5" s="27" t="s">
        <v>90</v>
      </c>
      <c r="D5" s="2" t="s">
        <v>17</v>
      </c>
      <c r="E5" s="2" t="s">
        <v>91</v>
      </c>
      <c r="F5" s="2" t="s">
        <v>92</v>
      </c>
      <c r="G5" s="2" t="s">
        <v>93</v>
      </c>
    </row>
    <row r="6" spans="1:7" ht="18" customHeight="1" x14ac:dyDescent="0.2">
      <c r="A6" s="4" t="s">
        <v>8</v>
      </c>
      <c r="B6" s="28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29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29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96</v>
      </c>
      <c r="B9" s="17" t="s">
        <v>94</v>
      </c>
      <c r="C9" s="17" t="s">
        <v>95</v>
      </c>
      <c r="D9" s="39">
        <f>SUM(C6:C8)</f>
        <v>125</v>
      </c>
      <c r="E9" s="39"/>
      <c r="F9" s="39"/>
      <c r="G9" s="40"/>
    </row>
    <row r="10" spans="1:7" ht="18" customHeight="1" x14ac:dyDescent="0.25">
      <c r="A10" s="4" t="s">
        <v>14</v>
      </c>
      <c r="B10" s="28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29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29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29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2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96</v>
      </c>
      <c r="B15" s="17" t="s">
        <v>97</v>
      </c>
      <c r="C15" s="17" t="s">
        <v>95</v>
      </c>
      <c r="D15" s="39">
        <f>SUM(C10:C14)</f>
        <v>175</v>
      </c>
      <c r="E15" s="39"/>
      <c r="F15" s="39"/>
      <c r="G15" s="40"/>
    </row>
    <row r="16" spans="1:7" ht="18" customHeight="1" x14ac:dyDescent="0.25">
      <c r="A16" s="4" t="s">
        <v>31</v>
      </c>
      <c r="B16" s="28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29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29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96</v>
      </c>
      <c r="B19" s="17" t="s">
        <v>98</v>
      </c>
      <c r="C19" s="17" t="s">
        <v>95</v>
      </c>
      <c r="D19" s="39">
        <f>SUM(C16:C18)</f>
        <v>145</v>
      </c>
      <c r="E19" s="39"/>
      <c r="F19" s="39"/>
      <c r="G19" s="40"/>
    </row>
    <row r="20" spans="1:7" ht="58.5" customHeight="1" x14ac:dyDescent="0.25">
      <c r="A20" s="4" t="s">
        <v>37</v>
      </c>
      <c r="B20" s="28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29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96</v>
      </c>
      <c r="B22" s="17" t="s">
        <v>99</v>
      </c>
      <c r="C22" s="17" t="s">
        <v>95</v>
      </c>
      <c r="D22" s="39">
        <f>SUM(C20:C21)</f>
        <v>105</v>
      </c>
      <c r="E22" s="39"/>
      <c r="F22" s="39"/>
      <c r="G22" s="40"/>
    </row>
    <row r="23" spans="1:7" ht="30" customHeight="1" x14ac:dyDescent="0.25">
      <c r="A23" s="4" t="s">
        <v>28</v>
      </c>
      <c r="B23" s="28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29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29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96</v>
      </c>
      <c r="B26" s="17" t="s">
        <v>100</v>
      </c>
      <c r="C26" s="17" t="s">
        <v>95</v>
      </c>
      <c r="D26" s="39">
        <f>SUM(C23:C25)</f>
        <v>140</v>
      </c>
      <c r="E26" s="39"/>
      <c r="F26" s="39"/>
      <c r="G26" s="40"/>
    </row>
    <row r="27" spans="1:7" ht="58.5" customHeight="1" x14ac:dyDescent="0.25">
      <c r="A27" s="6" t="s">
        <v>28</v>
      </c>
      <c r="B27" s="28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29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29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96</v>
      </c>
      <c r="B30" s="17" t="s">
        <v>101</v>
      </c>
      <c r="C30" s="17" t="s">
        <v>95</v>
      </c>
      <c r="D30" s="39">
        <f>SUM(C27:C29)</f>
        <v>155</v>
      </c>
      <c r="E30" s="39"/>
      <c r="F30" s="39"/>
      <c r="G30" s="40"/>
    </row>
    <row r="31" spans="1:7" ht="18" customHeight="1" x14ac:dyDescent="0.25">
      <c r="A31" s="4" t="s">
        <v>28</v>
      </c>
      <c r="B31" s="28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29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29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29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29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29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29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29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29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96</v>
      </c>
      <c r="B40" s="17" t="s">
        <v>102</v>
      </c>
      <c r="C40" s="17" t="s">
        <v>95</v>
      </c>
      <c r="D40" s="39">
        <f>SUM(C31:C39)</f>
        <v>140</v>
      </c>
      <c r="E40" s="39"/>
      <c r="F40" s="39"/>
      <c r="G40" s="40"/>
    </row>
    <row r="41" spans="1:7" ht="18" customHeight="1" x14ac:dyDescent="0.25">
      <c r="A41" s="4" t="s">
        <v>25</v>
      </c>
      <c r="B41" s="28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29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96</v>
      </c>
      <c r="B43" s="17" t="s">
        <v>103</v>
      </c>
      <c r="C43" s="17" t="s">
        <v>95</v>
      </c>
      <c r="D43" s="39">
        <f>SUM(C41:C42)</f>
        <v>190</v>
      </c>
      <c r="E43" s="39"/>
      <c r="F43" s="39"/>
      <c r="G43" s="40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96</v>
      </c>
      <c r="B45" s="17" t="s">
        <v>104</v>
      </c>
      <c r="C45" s="17" t="s">
        <v>95</v>
      </c>
      <c r="D45" s="39">
        <f>SUM(C44:C44)</f>
        <v>140</v>
      </c>
      <c r="E45" s="39"/>
      <c r="F45" s="39"/>
      <c r="G45" s="40"/>
    </row>
    <row r="46" spans="1:7" ht="18" customHeight="1" x14ac:dyDescent="0.25">
      <c r="A46" s="4" t="s">
        <v>28</v>
      </c>
      <c r="B46" s="28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29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29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29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29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29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96</v>
      </c>
      <c r="B52" s="17" t="s">
        <v>105</v>
      </c>
      <c r="C52" s="17" t="s">
        <v>95</v>
      </c>
      <c r="D52" s="39">
        <f>SUM(C46:C51)</f>
        <v>190</v>
      </c>
      <c r="E52" s="39"/>
      <c r="F52" s="39"/>
      <c r="G52" s="40"/>
    </row>
    <row r="53" spans="1:7" ht="48" customHeight="1" x14ac:dyDescent="0.25">
      <c r="A53" s="4" t="s">
        <v>73</v>
      </c>
      <c r="B53" s="28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29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29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96</v>
      </c>
      <c r="B56" s="17" t="s">
        <v>106</v>
      </c>
      <c r="C56" s="17" t="s">
        <v>95</v>
      </c>
      <c r="D56" s="39">
        <f>SUM(C53:C55)</f>
        <v>140</v>
      </c>
      <c r="E56" s="39"/>
      <c r="F56" s="39"/>
      <c r="G56" s="40"/>
    </row>
    <row r="57" spans="1:7" ht="30" customHeight="1" x14ac:dyDescent="0.25">
      <c r="A57" s="4" t="s">
        <v>73</v>
      </c>
      <c r="B57" s="28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29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96</v>
      </c>
      <c r="B59" s="17" t="s">
        <v>107</v>
      </c>
      <c r="C59" s="17" t="s">
        <v>95</v>
      </c>
      <c r="D59" s="39">
        <f>SUM(C57:C58)</f>
        <v>140</v>
      </c>
      <c r="E59" s="39"/>
      <c r="F59" s="39"/>
      <c r="G59" s="40"/>
    </row>
    <row r="60" spans="1:7" ht="48" customHeight="1" x14ac:dyDescent="0.25">
      <c r="A60" s="4" t="s">
        <v>73</v>
      </c>
      <c r="B60" s="28">
        <v>46007</v>
      </c>
      <c r="C60" s="5">
        <v>60</v>
      </c>
      <c r="D60" s="8" t="s">
        <v>114</v>
      </c>
      <c r="E60" s="8" t="s">
        <v>9</v>
      </c>
      <c r="F60" s="23">
        <v>0.375</v>
      </c>
      <c r="G60" s="8" t="s">
        <v>113</v>
      </c>
    </row>
    <row r="61" spans="1:7" ht="30" customHeight="1" x14ac:dyDescent="0.25">
      <c r="A61" s="6" t="s">
        <v>28</v>
      </c>
      <c r="B61" s="29"/>
      <c r="C61" s="7">
        <v>10</v>
      </c>
      <c r="D61" s="8" t="s">
        <v>119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29"/>
      <c r="C62" s="7">
        <v>45</v>
      </c>
      <c r="D62" s="8" t="s">
        <v>115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29"/>
      <c r="C63" s="7">
        <v>65</v>
      </c>
      <c r="D63" s="8" t="s">
        <v>116</v>
      </c>
      <c r="E63" s="8" t="s">
        <v>9</v>
      </c>
      <c r="F63" s="23">
        <v>0.47569444444444442</v>
      </c>
      <c r="G63" s="8" t="s">
        <v>117</v>
      </c>
    </row>
    <row r="64" spans="1:7" ht="18" customHeight="1" thickBot="1" x14ac:dyDescent="0.3">
      <c r="A64" s="11" t="s">
        <v>96</v>
      </c>
      <c r="B64" s="17" t="s">
        <v>108</v>
      </c>
      <c r="C64" s="17" t="s">
        <v>95</v>
      </c>
      <c r="D64" s="39">
        <f>SUM(C60:C63)</f>
        <v>180</v>
      </c>
      <c r="E64" s="39"/>
      <c r="F64" s="39"/>
      <c r="G64" s="40"/>
    </row>
    <row r="65" spans="1:7" ht="18" customHeight="1" x14ac:dyDescent="0.25">
      <c r="A65" s="4" t="s">
        <v>73</v>
      </c>
      <c r="B65" s="28">
        <v>46027</v>
      </c>
      <c r="C65" s="5">
        <v>10</v>
      </c>
      <c r="D65" s="8" t="s">
        <v>118</v>
      </c>
      <c r="E65" s="8" t="s">
        <v>9</v>
      </c>
      <c r="F65" s="23">
        <v>0.55208333333333337</v>
      </c>
      <c r="G65" s="19"/>
    </row>
    <row r="66" spans="1:7" ht="18" customHeight="1" x14ac:dyDescent="0.25">
      <c r="A66" s="6" t="s">
        <v>28</v>
      </c>
      <c r="B66" s="29"/>
      <c r="C66" s="7">
        <v>10</v>
      </c>
      <c r="D66" s="8" t="s">
        <v>120</v>
      </c>
      <c r="E66" s="8" t="s">
        <v>9</v>
      </c>
      <c r="F66" s="23">
        <v>0.55902777777777779</v>
      </c>
      <c r="G66" s="19"/>
    </row>
    <row r="67" spans="1:7" ht="18" customHeight="1" x14ac:dyDescent="0.25">
      <c r="A67" s="6" t="s">
        <v>25</v>
      </c>
      <c r="B67" s="29"/>
      <c r="C67" s="7">
        <v>10</v>
      </c>
      <c r="D67" s="8" t="s">
        <v>121</v>
      </c>
      <c r="E67" s="8" t="s">
        <v>9</v>
      </c>
      <c r="F67" s="23">
        <v>0.56597222222222221</v>
      </c>
      <c r="G67" s="19"/>
    </row>
    <row r="68" spans="1:7" ht="30" customHeight="1" x14ac:dyDescent="0.25">
      <c r="A68" s="6" t="s">
        <v>28</v>
      </c>
      <c r="B68" s="29"/>
      <c r="C68" s="7">
        <v>45</v>
      </c>
      <c r="D68" s="8" t="s">
        <v>122</v>
      </c>
      <c r="E68" s="8" t="s">
        <v>9</v>
      </c>
      <c r="F68" s="23">
        <v>0.59722222222222221</v>
      </c>
      <c r="G68" s="19"/>
    </row>
    <row r="69" spans="1:7" ht="18" customHeight="1" thickBot="1" x14ac:dyDescent="0.3">
      <c r="A69" s="6" t="s">
        <v>28</v>
      </c>
      <c r="B69" s="29"/>
      <c r="C69" s="7">
        <v>70</v>
      </c>
      <c r="D69" s="8" t="s">
        <v>123</v>
      </c>
      <c r="E69" s="8" t="s">
        <v>9</v>
      </c>
      <c r="F69" s="23">
        <v>0.65625</v>
      </c>
      <c r="G69" s="19" t="s">
        <v>124</v>
      </c>
    </row>
    <row r="70" spans="1:7" ht="18" customHeight="1" thickBot="1" x14ac:dyDescent="0.3">
      <c r="A70" s="11" t="s">
        <v>96</v>
      </c>
      <c r="B70" s="17" t="s">
        <v>109</v>
      </c>
      <c r="C70" s="17" t="s">
        <v>95</v>
      </c>
      <c r="D70" s="39">
        <f>SUM(C65:C69)</f>
        <v>145</v>
      </c>
      <c r="E70" s="39"/>
      <c r="F70" s="39"/>
      <c r="G70" s="40"/>
    </row>
    <row r="71" spans="1:7" ht="48" customHeight="1" x14ac:dyDescent="0.25">
      <c r="A71" s="4" t="s">
        <v>28</v>
      </c>
      <c r="B71" s="28">
        <v>46042</v>
      </c>
      <c r="C71" s="5">
        <v>135</v>
      </c>
      <c r="D71" s="8" t="s">
        <v>125</v>
      </c>
      <c r="E71" s="8" t="s">
        <v>9</v>
      </c>
      <c r="F71" s="23">
        <v>0.4375</v>
      </c>
      <c r="G71" s="8" t="s">
        <v>126</v>
      </c>
    </row>
    <row r="72" spans="1:7" ht="18" customHeight="1" x14ac:dyDescent="0.25">
      <c r="A72" s="6" t="s">
        <v>22</v>
      </c>
      <c r="B72" s="29"/>
      <c r="C72" s="7">
        <v>5</v>
      </c>
      <c r="D72" s="8" t="s">
        <v>127</v>
      </c>
      <c r="E72" s="8" t="s">
        <v>9</v>
      </c>
      <c r="F72" s="23">
        <v>0.44097222222222227</v>
      </c>
      <c r="G72" s="19"/>
    </row>
    <row r="73" spans="1:7" ht="18" customHeight="1" x14ac:dyDescent="0.25">
      <c r="A73" s="6" t="s">
        <v>28</v>
      </c>
      <c r="B73" s="29"/>
      <c r="C73" s="7">
        <v>40</v>
      </c>
      <c r="D73" s="8" t="s">
        <v>128</v>
      </c>
      <c r="E73" s="8" t="s">
        <v>9</v>
      </c>
      <c r="F73" s="23">
        <v>0.46527777777777773</v>
      </c>
      <c r="G73" s="19"/>
    </row>
    <row r="74" spans="1:7" ht="18" customHeight="1" thickBot="1" x14ac:dyDescent="0.3">
      <c r="A74" s="6" t="s">
        <v>28</v>
      </c>
      <c r="B74" s="29"/>
      <c r="C74" s="7">
        <v>15</v>
      </c>
      <c r="D74" s="8" t="s">
        <v>129</v>
      </c>
      <c r="E74" s="8" t="s">
        <v>20</v>
      </c>
      <c r="F74" s="23">
        <v>0.47569444444444442</v>
      </c>
      <c r="G74" s="19"/>
    </row>
    <row r="75" spans="1:7" ht="18" customHeight="1" thickBot="1" x14ac:dyDescent="0.3">
      <c r="A75" s="11" t="s">
        <v>96</v>
      </c>
      <c r="B75" s="17" t="s">
        <v>110</v>
      </c>
      <c r="C75" s="17" t="s">
        <v>95</v>
      </c>
      <c r="D75" s="39">
        <f>SUM(C71:C74)</f>
        <v>195</v>
      </c>
      <c r="E75" s="39"/>
      <c r="F75" s="39"/>
      <c r="G75" s="40"/>
    </row>
    <row r="76" spans="1:7" ht="18" customHeight="1" x14ac:dyDescent="0.25">
      <c r="A76" s="4"/>
      <c r="B76" s="28"/>
      <c r="C76" s="5"/>
      <c r="D76" s="8"/>
      <c r="E76" s="8"/>
      <c r="F76" s="22"/>
      <c r="G76" s="19"/>
    </row>
    <row r="77" spans="1:7" ht="18" customHeight="1" x14ac:dyDescent="0.25">
      <c r="A77" s="6"/>
      <c r="B77" s="29"/>
      <c r="C77" s="7"/>
      <c r="D77" s="8"/>
      <c r="E77" s="8"/>
      <c r="F77" s="22"/>
      <c r="G77" s="19"/>
    </row>
    <row r="78" spans="1:7" ht="18" customHeight="1" x14ac:dyDescent="0.25">
      <c r="A78" s="6"/>
      <c r="B78" s="29"/>
      <c r="C78" s="7"/>
      <c r="D78" s="8"/>
      <c r="E78" s="8"/>
      <c r="F78" s="7"/>
      <c r="G78" s="19"/>
    </row>
    <row r="79" spans="1:7" ht="18" customHeight="1" x14ac:dyDescent="0.25">
      <c r="A79" s="6"/>
      <c r="B79" s="29"/>
      <c r="C79" s="7"/>
      <c r="D79" s="8"/>
      <c r="E79" s="8"/>
      <c r="F79" s="7"/>
      <c r="G79" s="19"/>
    </row>
    <row r="80" spans="1:7" ht="18" customHeight="1" thickBot="1" x14ac:dyDescent="0.3">
      <c r="A80" s="9"/>
      <c r="B80" s="32"/>
      <c r="C80" s="9"/>
      <c r="D80" s="8"/>
      <c r="E80" s="10"/>
      <c r="F80" s="7"/>
      <c r="G80" s="19"/>
    </row>
    <row r="81" spans="1:7" ht="18" customHeight="1" thickBot="1" x14ac:dyDescent="0.3">
      <c r="A81" s="11" t="s">
        <v>96</v>
      </c>
      <c r="B81" s="17" t="s">
        <v>111</v>
      </c>
      <c r="C81" s="17" t="s">
        <v>95</v>
      </c>
      <c r="D81" s="39">
        <f>SUM(C76:C80)</f>
        <v>0</v>
      </c>
      <c r="E81" s="39"/>
      <c r="F81" s="39"/>
      <c r="G81" s="40"/>
    </row>
    <row r="82" spans="1:7" ht="21" customHeight="1" thickBot="1" x14ac:dyDescent="0.3">
      <c r="A82" s="30" t="s">
        <v>112</v>
      </c>
      <c r="B82" s="31"/>
      <c r="C82" s="12">
        <f>MROUND(SUM(C6:C81) /60,0.2)</f>
        <v>38.400000000000006</v>
      </c>
      <c r="D82" s="13"/>
      <c r="E82" s="18"/>
      <c r="F82" s="20"/>
      <c r="G82" s="14"/>
    </row>
    <row r="83" spans="1:7" x14ac:dyDescent="0.25">
      <c r="A83" s="15"/>
    </row>
    <row r="84" spans="1:7" x14ac:dyDescent="0.25">
      <c r="A84" s="15"/>
    </row>
  </sheetData>
  <mergeCells count="42">
    <mergeCell ref="D22:G22"/>
    <mergeCell ref="D26:G26"/>
    <mergeCell ref="D30:G30"/>
    <mergeCell ref="D40:G40"/>
    <mergeCell ref="D81:G81"/>
    <mergeCell ref="D52:G52"/>
    <mergeCell ref="D43:G43"/>
    <mergeCell ref="D45:G45"/>
    <mergeCell ref="D75:G75"/>
    <mergeCell ref="D70:G70"/>
    <mergeCell ref="D56:G56"/>
    <mergeCell ref="D59:G59"/>
    <mergeCell ref="D64:G64"/>
    <mergeCell ref="D9:G9"/>
    <mergeCell ref="D15:G15"/>
    <mergeCell ref="D19:G19"/>
    <mergeCell ref="B4:G4"/>
    <mergeCell ref="B6:B8"/>
    <mergeCell ref="B10:B14"/>
    <mergeCell ref="B16:B18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B20:B21"/>
    <mergeCell ref="B23:B25"/>
    <mergeCell ref="B27:B29"/>
    <mergeCell ref="A82:B82"/>
    <mergeCell ref="B31:B39"/>
    <mergeCell ref="B76:B80"/>
    <mergeCell ref="B46:B51"/>
    <mergeCell ref="B41:B42"/>
    <mergeCell ref="B71:B74"/>
    <mergeCell ref="B65:B69"/>
    <mergeCell ref="B53:B55"/>
    <mergeCell ref="B57:B58"/>
    <mergeCell ref="B60:B63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76:C80 C27:C29 C23:C25 C16:C18 B6 C10:C14 C20:C21 C6:C8 C31:C39 C41:C42 C44 C46:C51 C71:C74 C53:C55 C60:C63 C57:C58 C65:C69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76:B80 B27:B29 B23:B25 B31:B39 B41:B42 B44 B46:B51 B71:B74 B53:B55 B60:B63 B57:B58 B65:B69" xr:uid="{7694F886-C01B-440C-B6C8-5FF698F43C26}">
      <formula1>45261</formula1>
    </dataValidation>
  </dataValidations>
  <hyperlinks>
    <hyperlink ref="G6" r:id="rId1" xr:uid="{48F1459F-A9D8-4CFC-BB03-37B9BE21D6DE}"/>
    <hyperlink ref="G69" r:id="rId2" xr:uid="{93681196-2DD2-4E71-B42F-AE88441C8C0B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7" orientation="portrait" r:id="rId3"/>
  <headerFooter>
    <oddHeader>&amp;L&amp;"Etml_font,Normal"&amp;22ETML&amp;R&amp;G</oddHeader>
    <oddFooter>&amp;L&amp;14&amp;D&amp;R&amp;14Journal</oddFooter>
  </headerFooter>
  <legacyDrawingHF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68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A76:E80 A82:E1048576 A44:E44 A41:E42 A46:E51 A65:E69 A60:E63 A57:E58 A53:E55 A1:D2 F1:F3 A3 D3 G4:G5 G7:G8 A9:D9 A15:D15 A19:D19 A22:D22 A26:D26 A30:D30 A40:D40 A43:D43 A45:D45 A52:D52 A56:D56 A59:D59 A64:D64 A70:D70 A75:D75 A81:D81 G82:G1048576 A71:E74</xm:sqref>
        </x14:conditionalFormatting>
        <x14:conditionalFormatting xmlns:xm="http://schemas.microsoft.com/office/excel/2006/main">
          <x14:cfRule type="cellIs" priority="67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9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70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E76:E80 E82:E1048576</xm:sqref>
        </x14:conditionalFormatting>
        <x14:conditionalFormatting xmlns:xm="http://schemas.microsoft.com/office/excel/2006/main">
          <x14:cfRule type="cellIs" priority="36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7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8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40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1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2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28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9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0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8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9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0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12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3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4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16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7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8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20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1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2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24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5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6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E71:E74</xm:sqref>
        </x14:conditionalFormatting>
        <x14:conditionalFormatting xmlns:xm="http://schemas.microsoft.com/office/excel/2006/main">
          <x14:cfRule type="containsText" priority="64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62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61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60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59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39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7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11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15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F60 F61:G62 F63</xm:sqref>
        </x14:conditionalFormatting>
        <x14:conditionalFormatting xmlns:xm="http://schemas.microsoft.com/office/excel/2006/main">
          <x14:cfRule type="containsText" priority="63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58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47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35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27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19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23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F72:G74 F71</xm:sqref>
        </x14:conditionalFormatting>
        <x14:conditionalFormatting xmlns:xm="http://schemas.microsoft.com/office/excel/2006/main">
          <x14:cfRule type="containsText" priority="57" operator="containsText" id="{2F0F41F7-8C93-48A6-B013-C45F8E29AE34}">
            <xm:f>NOT(ISERROR(SEARCH(Restrictions!$B$1,F76)))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F76:G80</xm:sqref>
        </x14:conditionalFormatting>
        <x14:conditionalFormatting xmlns:xm="http://schemas.microsoft.com/office/excel/2006/main">
          <x14:cfRule type="cellIs" priority="56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55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54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53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52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51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50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49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34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33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32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6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5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4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3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2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  <x14:conditionalFormatting xmlns:xm="http://schemas.microsoft.com/office/excel/2006/main">
          <x14:cfRule type="cellIs" priority="1" operator="equal" id="{19A160C2-6897-43F9-AB25-0B60E506490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E82:E1048576 E27:E29 E23:E25 E76:E80 E31:E39 E41:E42 E44 E46:E51 E71:E74 E53:E55 E60:E63 E57:E58 E65:E69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2026-01-20T10:24:37Z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