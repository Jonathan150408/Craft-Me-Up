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28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D:\01Modules\02Deuxieme_Annee\P_Prod\Trimestre_2\Craft-Me-Up\"/>
    </mc:Choice>
  </mc:AlternateContent>
  <xr:revisionPtr revIDLastSave="0" documentId="13_ncr:1_{3A0DDCEF-9EEF-47E1-8913-1890B2F6A97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Journal" sheetId="18" r:id="rId1"/>
    <sheet name="Restrictions" sheetId="19" r:id="rId2"/>
  </sheets>
  <definedNames>
    <definedName name="_xlnm.Print_Area" localSheetId="0">Journal!$A$1:$G$59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5" i="18" l="1"/>
  <c r="D43" i="18"/>
  <c r="D52" i="18"/>
  <c r="D58" i="18"/>
  <c r="D40" i="18"/>
  <c r="D30" i="18"/>
  <c r="D26" i="18"/>
  <c r="D22" i="18"/>
  <c r="D19" i="18"/>
  <c r="D15" i="18"/>
  <c r="D9" i="18"/>
  <c r="C59" i="18" l="1"/>
</calcChain>
</file>

<file path=xl/sharedStrings.xml><?xml version="1.0" encoding="utf-8"?>
<sst xmlns="http://schemas.openxmlformats.org/spreadsheetml/2006/main" count="189" uniqueCount="101">
  <si>
    <t>Apprenti.e</t>
  </si>
  <si>
    <t>Durée total (h ou p)</t>
  </si>
  <si>
    <t>Classe ou Groupe</t>
  </si>
  <si>
    <t>Experts </t>
  </si>
  <si>
    <t>-</t>
  </si>
  <si>
    <t>Chef.fe de Projet</t>
  </si>
  <si>
    <t>Bulle / Domaine / Module</t>
  </si>
  <si>
    <t>Sujet </t>
  </si>
  <si>
    <t>Tâches</t>
  </si>
  <si>
    <t>Dates</t>
  </si>
  <si>
    <r>
      <t xml:space="preserve">Durées </t>
    </r>
    <r>
      <rPr>
        <b/>
        <sz val="10"/>
        <rFont val="Century Gothic"/>
        <family val="2"/>
      </rPr>
      <t>[min]</t>
    </r>
  </si>
  <si>
    <t>Sources, liens, références, commits …</t>
  </si>
  <si>
    <t>Bilan du jour :</t>
  </si>
  <si>
    <t>Total en heures</t>
  </si>
  <si>
    <t>Si nécessaire, [ Copier ] &amp; [ Insérer ] un ou des jours supplémentaires avant la ligne du total</t>
  </si>
  <si>
    <t>Explications</t>
  </si>
  <si>
    <t>Etats</t>
  </si>
  <si>
    <t>Date de fin</t>
  </si>
  <si>
    <t>Durée totale:</t>
  </si>
  <si>
    <t>Jour 1</t>
  </si>
  <si>
    <t>Jour 2</t>
  </si>
  <si>
    <t>Jour 3</t>
  </si>
  <si>
    <t>Jour 4</t>
  </si>
  <si>
    <t>Jour 5</t>
  </si>
  <si>
    <t>Jour 6</t>
  </si>
  <si>
    <t>Jour 7</t>
  </si>
  <si>
    <t>Jour 8</t>
  </si>
  <si>
    <t>Néo Darbellay</t>
  </si>
  <si>
    <t>CID2A/GRP2C</t>
  </si>
  <si>
    <t>56p</t>
  </si>
  <si>
    <t>Craft Me Up</t>
  </si>
  <si>
    <t>S. Oliveira</t>
  </si>
  <si>
    <t>Setting up the work environment</t>
  </si>
  <si>
    <t>Setup</t>
  </si>
  <si>
    <t>Finished</t>
  </si>
  <si>
    <t>In the work</t>
  </si>
  <si>
    <t>Not started</t>
  </si>
  <si>
    <t>https://github.com/Jonathan150408/Craft-Me-Up</t>
  </si>
  <si>
    <t>INF / DEV / P_Prod</t>
  </si>
  <si>
    <t>Class diagram</t>
  </si>
  <si>
    <t>Creating a diagram for every class</t>
  </si>
  <si>
    <t>Explanation of the code</t>
  </si>
  <si>
    <t>Explanations</t>
  </si>
  <si>
    <t>Not everything is done, will be finished next session</t>
  </si>
  <si>
    <t>Finishing the class diagrams</t>
  </si>
  <si>
    <t>Not finished</t>
  </si>
  <si>
    <t>Writing</t>
  </si>
  <si>
    <t>Backlog</t>
  </si>
  <si>
    <t>This may get changed later, as this was done without Jonathan's approval, as he wasn't there</t>
  </si>
  <si>
    <t>This was done in a .txt file originally, as the GitHub Project wasn't set up yet and I cannot create it</t>
  </si>
  <si>
    <t>Designing</t>
  </si>
  <si>
    <t>Writing 4 new issues</t>
  </si>
  <si>
    <t>Designing 4 images for the new issues</t>
  </si>
  <si>
    <t>Coding</t>
  </si>
  <si>
    <t>Started working on the code optimization</t>
  </si>
  <si>
    <t>Debating on code optimization</t>
  </si>
  <si>
    <t>Debating</t>
  </si>
  <si>
    <t>Writing the product specifications</t>
  </si>
  <si>
    <t>This was used for the new class diagrams</t>
  </si>
  <si>
    <t>Writing the fifth issue &amp; adding the previous ones to GitHub Project</t>
  </si>
  <si>
    <t>This took a while, as GitHub decided to disable issues in the project.</t>
  </si>
  <si>
    <t>Continuing code optimization</t>
  </si>
  <si>
    <t>Other</t>
  </si>
  <si>
    <t>All progress here has been reset as the PC's power source got turned off by a classmate.</t>
  </si>
  <si>
    <t>Working on a presentation for another class</t>
  </si>
  <si>
    <t>I'm not adding the duration, as this wasn't part of the project. However, it did take up some of the allocated project time. I'll take time off during a weekend to compensate for it.</t>
  </si>
  <si>
    <t>Character.cs, Projectile.cs, Obstacle.cs</t>
  </si>
  <si>
    <t>Enemy.cs, along with fixes for Character, Projectile and Obstacle.</t>
  </si>
  <si>
    <t>Analyzing the code to see if I missed anything that could be optimized</t>
  </si>
  <si>
    <t>Implementing Jonathan's optimisation</t>
  </si>
  <si>
    <t>Still needs some fixing</t>
  </si>
  <si>
    <t>Fixing rendering issues with the new system</t>
  </si>
  <si>
    <t>Fixing projectiles with the new system</t>
  </si>
  <si>
    <t>Since the optimization was so big, a lot of things broke and had to be changed
There are still some issues, but I'll need Jonathan to help out</t>
  </si>
  <si>
    <t>They shoot again, but have some issues that will need more fixing</t>
  </si>
  <si>
    <t>Re-adding health bar visuals (obstacle, characters)</t>
  </si>
  <si>
    <t>Fixing an issue with zombies teleporting to 0 0</t>
  </si>
  <si>
    <t>Testing the old app to see if it was easier to fix than the current one</t>
  </si>
  <si>
    <t>V1 used DrawImage instead of Picturebox, which isn't as resource-heavy.</t>
  </si>
  <si>
    <t>Re-implementing the old CFrame system</t>
  </si>
  <si>
    <t>Adapting Enemy to work with the new CFrame system</t>
  </si>
  <si>
    <t>Adapting Character to work with the new CFrame system</t>
  </si>
  <si>
    <t>Adapting Obstacle to work with the new CFrame system</t>
  </si>
  <si>
    <t>Jour 9</t>
  </si>
  <si>
    <t>Jour 10</t>
  </si>
  <si>
    <t>Jour 11</t>
  </si>
  <si>
    <t>Adapting Projectile to work with the new CFrame system</t>
  </si>
  <si>
    <t>Writing 1 new issue</t>
  </si>
  <si>
    <t>Designing an image for the new issue</t>
  </si>
  <si>
    <t>Will finish it tomorrow</t>
  </si>
  <si>
    <t>Continuation of the new issue's design</t>
  </si>
  <si>
    <t>Adapting the main program to work with the new CFrame system</t>
  </si>
  <si>
    <t>This took a while, as there was a big memory leak to fix. I also made the camera follow the player during that time. This is not finished yet.</t>
  </si>
  <si>
    <t>Fixing the memory leak</t>
  </si>
  <si>
    <t>Still not done, but I got an idea, which is to do a using(Bitmap Sprite = GetSprite(Type)) instead of storing a sprite for each entity</t>
  </si>
  <si>
    <t>Getting better sprites, and renaming them in the code</t>
  </si>
  <si>
    <t>Images/Coding</t>
  </si>
  <si>
    <t>Re-adding health bar visuals (obstacle, characters) and creating a better GenerateWaves()</t>
  </si>
  <si>
    <t>Creating better collisions</t>
  </si>
  <si>
    <t>Implemented a background image to the game</t>
  </si>
  <si>
    <t>Setting up the presentation PC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</si>
</sst>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name val="Century Gothic"/>
      <family val="2"/>
      <scheme val="minor"/>
    </font>
    <font>
      <u/>
      <sz val="10"/>
      <color indexed="12"/>
      <name val="Arial"/>
      <family val="2"/>
    </font>
    <font>
      <sz val="11"/>
      <name val="Century Gothic"/>
      <family val="2"/>
    </font>
    <font>
      <sz val="10"/>
      <name val="Century Gothic"/>
      <family val="2"/>
    </font>
    <font>
      <b/>
      <sz val="12"/>
      <name val="Century Gothic"/>
      <family val="2"/>
    </font>
    <font>
      <b/>
      <sz val="10"/>
      <name val="Century Gothic"/>
      <family val="2"/>
    </font>
  </fonts>
  <fills count="4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41">
    <xf numFmtId="0" fontId="0" fillId="0" borderId="0" xfId="0"/>
    <xf numFmtId="0" fontId="3" fillId="0" borderId="0" xfId="0" applyFont="1" applyAlignment="1">
      <alignment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3" fillId="0" borderId="1" xfId="1" applyFont="1" applyFill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center" vertical="center" wrapText="1"/>
      <protection locked="0"/>
    </xf>
    <xf numFmtId="0" fontId="3" fillId="0" borderId="2" xfId="1" applyFont="1" applyFill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left" vertical="center" wrapText="1"/>
      <protection locked="0"/>
    </xf>
    <xf numFmtId="0" fontId="3" fillId="0" borderId="9" xfId="0" applyFont="1" applyBorder="1" applyAlignment="1" applyProtection="1">
      <alignment horizontal="center" vertical="center" wrapText="1"/>
      <protection locked="0"/>
    </xf>
    <xf numFmtId="0" fontId="3" fillId="0" borderId="9" xfId="0" applyFont="1" applyBorder="1" applyAlignment="1" applyProtection="1">
      <alignment horizontal="left" vertical="center" wrapText="1"/>
      <protection locked="0"/>
    </xf>
    <xf numFmtId="0" fontId="5" fillId="3" borderId="5" xfId="0" applyFont="1" applyFill="1" applyBorder="1" applyAlignment="1" applyProtection="1">
      <alignment horizontal="center" vertical="center" wrapText="1"/>
      <protection locked="0"/>
    </xf>
    <xf numFmtId="0" fontId="4" fillId="2" borderId="6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left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0" borderId="0" xfId="0" applyFont="1" applyAlignment="1">
      <alignment vertical="center"/>
    </xf>
    <xf numFmtId="0" fontId="4" fillId="3" borderId="6" xfId="0" applyFont="1" applyFill="1" applyBorder="1" applyAlignment="1">
      <alignment horizontal="left" vertical="center" wrapText="1" indent="1"/>
    </xf>
    <xf numFmtId="0" fontId="3" fillId="3" borderId="5" xfId="0" applyFont="1" applyFill="1" applyBorder="1" applyAlignment="1" applyProtection="1">
      <alignment vertical="center" wrapText="1"/>
      <protection locked="0"/>
    </xf>
    <xf numFmtId="0" fontId="5" fillId="2" borderId="3" xfId="0" applyFont="1" applyFill="1" applyBorder="1" applyAlignment="1">
      <alignment horizontal="left" vertical="center" wrapText="1"/>
    </xf>
    <xf numFmtId="0" fontId="1" fillId="0" borderId="2" xfId="1" applyBorder="1" applyAlignment="1" applyProtection="1">
      <alignment horizontal="left" vertical="center" wrapText="1"/>
      <protection locked="0"/>
    </xf>
    <xf numFmtId="0" fontId="5" fillId="2" borderId="3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22" fontId="3" fillId="0" borderId="2" xfId="0" applyNumberFormat="1" applyFont="1" applyBorder="1" applyAlignment="1" applyProtection="1">
      <alignment horizontal="center" vertical="center" wrapText="1"/>
      <protection locked="0"/>
    </xf>
    <xf numFmtId="20" fontId="3" fillId="0" borderId="2" xfId="0" applyNumberFormat="1" applyFont="1" applyBorder="1" applyAlignment="1" applyProtection="1">
      <alignment horizontal="center" vertical="center" wrapText="1"/>
      <protection locked="0"/>
    </xf>
    <xf numFmtId="0" fontId="1" fillId="0" borderId="0" xfId="1" applyAlignment="1" applyProtection="1"/>
    <xf numFmtId="20" fontId="3" fillId="0" borderId="2" xfId="0" quotePrefix="1" applyNumberFormat="1" applyFont="1" applyBorder="1" applyAlignment="1" applyProtection="1">
      <alignment horizontal="center" vertical="center" wrapText="1"/>
      <protection locked="0"/>
    </xf>
    <xf numFmtId="14" fontId="3" fillId="0" borderId="7" xfId="0" applyNumberFormat="1" applyFont="1" applyBorder="1" applyAlignment="1" applyProtection="1">
      <alignment horizontal="center" vertical="center" wrapText="1"/>
      <protection locked="0"/>
    </xf>
    <xf numFmtId="14" fontId="3" fillId="0" borderId="7" xfId="0" applyNumberFormat="1" applyFont="1" applyBorder="1" applyAlignment="1" applyProtection="1">
      <alignment horizontal="center" vertical="center" wrapText="1"/>
      <protection locked="0"/>
    </xf>
    <xf numFmtId="14" fontId="3" fillId="0" borderId="10" xfId="0" applyNumberFormat="1" applyFont="1" applyBorder="1" applyAlignment="1" applyProtection="1">
      <alignment horizontal="center" vertical="center" wrapText="1"/>
      <protection locked="0"/>
    </xf>
    <xf numFmtId="0" fontId="4" fillId="2" borderId="5" xfId="0" applyFont="1" applyFill="1" applyBorder="1" applyAlignment="1">
      <alignment horizontal="right" vertical="center" wrapText="1"/>
    </xf>
    <xf numFmtId="0" fontId="4" fillId="2" borderId="4" xfId="0" applyFont="1" applyFill="1" applyBorder="1" applyAlignment="1">
      <alignment horizontal="right" vertical="center" wrapText="1"/>
    </xf>
    <xf numFmtId="14" fontId="3" fillId="0" borderId="8" xfId="0" applyNumberFormat="1" applyFont="1" applyBorder="1" applyAlignment="1" applyProtection="1">
      <alignment horizontal="center" vertical="center" wrapText="1"/>
      <protection locked="0"/>
    </xf>
    <xf numFmtId="0" fontId="2" fillId="0" borderId="5" xfId="0" applyFont="1" applyBorder="1" applyAlignment="1">
      <alignment horizontal="left" vertical="center" indent="1"/>
    </xf>
    <xf numFmtId="0" fontId="2" fillId="0" borderId="4" xfId="0" applyFont="1" applyBorder="1" applyAlignment="1">
      <alignment horizontal="left" vertical="center" indent="1"/>
    </xf>
    <xf numFmtId="0" fontId="4" fillId="3" borderId="5" xfId="0" applyFont="1" applyFill="1" applyBorder="1" applyAlignment="1">
      <alignment horizontal="left" vertical="center" indent="1"/>
    </xf>
    <xf numFmtId="0" fontId="4" fillId="3" borderId="4" xfId="0" applyFont="1" applyFill="1" applyBorder="1" applyAlignment="1">
      <alignment horizontal="left" vertical="center" indent="1"/>
    </xf>
    <xf numFmtId="0" fontId="2" fillId="0" borderId="5" xfId="0" applyFont="1" applyBorder="1" applyAlignment="1">
      <alignment horizontal="left" vertical="center" wrapText="1" indent="1"/>
    </xf>
    <xf numFmtId="0" fontId="2" fillId="0" borderId="4" xfId="0" applyFont="1" applyBorder="1" applyAlignment="1">
      <alignment horizontal="left" vertical="center" wrapText="1" indent="1"/>
    </xf>
    <xf numFmtId="0" fontId="3" fillId="3" borderId="3" xfId="0" applyFont="1" applyFill="1" applyBorder="1" applyAlignment="1" applyProtection="1">
      <alignment horizontal="left" vertical="center" wrapText="1"/>
      <protection locked="0"/>
    </xf>
    <xf numFmtId="0" fontId="3" fillId="3" borderId="4" xfId="0" applyFont="1" applyFill="1" applyBorder="1" applyAlignment="1" applyProtection="1">
      <alignment horizontal="left" vertical="center" wrapText="1"/>
      <protection locked="0"/>
    </xf>
    <xf numFmtId="0" fontId="2" fillId="0" borderId="3" xfId="0" applyFont="1" applyBorder="1" applyAlignment="1">
      <alignment horizontal="left" vertical="center" wrapText="1" indent="1"/>
    </xf>
  </cellXfs>
  <cellStyles count="2">
    <cellStyle name="Lien hypertexte" xfId="1" builtinId="8"/>
    <cellStyle name="Normal" xfId="0" builtinId="0" customBuiltin="1"/>
  </cellStyles>
  <dxfs count="41"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</dxfs>
  <tableStyles count="0" defaultTableStyle="TableStyleMedium9" defaultPivotStyle="PivotStyleLight16"/>
  <colors>
    <mruColors>
      <color rgb="FFFFFFCC"/>
      <color rgb="FF66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usti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Austin">
      <a:maj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Verdana"/>
        <a:font script="Uigh" typeface="Microsoft Uighur"/>
        <a:font script="Geor" typeface="Sylfaen"/>
      </a:minorFont>
    </a:fontScheme>
    <a:fmtScheme name="Austin">
      <a:fillStyleLst>
        <a:solidFill>
          <a:schemeClr val="phClr"/>
        </a:solidFill>
        <a:gradFill rotWithShape="1">
          <a:gsLst>
            <a:gs pos="0">
              <a:schemeClr val="phClr">
                <a:tint val="20000"/>
                <a:satMod val="180000"/>
                <a:lumMod val="98000"/>
              </a:schemeClr>
            </a:gs>
            <a:gs pos="40000">
              <a:schemeClr val="phClr">
                <a:tint val="30000"/>
                <a:satMod val="260000"/>
                <a:lumMod val="84000"/>
              </a:schemeClr>
            </a:gs>
            <a:gs pos="100000">
              <a:schemeClr val="phClr">
                <a:tint val="100000"/>
                <a:satMod val="110000"/>
                <a:lumMod val="100000"/>
              </a:schemeClr>
            </a:gs>
          </a:gsLst>
          <a:lin ang="5040000" scaled="1"/>
        </a:gradFill>
        <a:gradFill rotWithShape="1">
          <a:gsLst>
            <a:gs pos="0">
              <a:schemeClr val="phClr"/>
            </a:gs>
            <a:gs pos="100000">
              <a:schemeClr val="phClr">
                <a:shade val="75000"/>
                <a:satMod val="120000"/>
                <a:lumMod val="90000"/>
              </a:schemeClr>
            </a:gs>
          </a:gsLst>
          <a:lin ang="54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22225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dir="5400000" rotWithShape="0">
              <a:srgbClr val="000000">
                <a:alpha val="28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>
            <a:bevelT w="50800" h="12700" prst="softRound"/>
          </a:sp3d>
        </a:effectStyle>
        <a:effectStyle>
          <a:effectLst>
            <a:outerShdw blurRad="44450" dist="50800" dir="5400000" sx="96000" rotWithShape="0">
              <a:srgbClr val="000000">
                <a:alpha val="34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 contourW="15875" prstMaterial="metal">
            <a:bevelT w="101600" h="25400" prst="softRound"/>
            <a:contourClr>
              <a:schemeClr val="phClr">
                <a:shade val="3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94000"/>
                <a:satMod val="114000"/>
                <a:lumMod val="96000"/>
              </a:schemeClr>
            </a:gs>
            <a:gs pos="62000">
              <a:schemeClr val="phClr">
                <a:tint val="92000"/>
                <a:shade val="66000"/>
                <a:satMod val="110000"/>
                <a:lumMod val="80000"/>
              </a:schemeClr>
            </a:gs>
            <a:gs pos="100000">
              <a:schemeClr val="phClr">
                <a:tint val="89000"/>
                <a:shade val="62000"/>
                <a:satMod val="110000"/>
                <a:lumMod val="72000"/>
              </a:schemeClr>
            </a:gs>
          </a:gsLst>
          <a:lin ang="5400000" scaled="0"/>
        </a:gradFill>
        <a:blipFill rotWithShape="1">
          <a:blip xmlns:r="http://schemas.openxmlformats.org/officeDocument/2006/relationships" r:embed="rId1">
            <a:duotone>
              <a:schemeClr val="phClr">
                <a:tint val="80000"/>
                <a:shade val="58000"/>
              </a:schemeClr>
              <a:schemeClr val="phClr">
                <a:tint val="73000"/>
                <a:shade val="68000"/>
                <a:satMod val="15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github.com/Jonathan150408/Craft-Me-U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69B11-3078-4C32-9318-C5231A58CF27}">
  <sheetPr>
    <pageSetUpPr fitToPage="1"/>
  </sheetPr>
  <dimension ref="A1:G61"/>
  <sheetViews>
    <sheetView tabSelected="1" view="pageBreakPreview" zoomScale="85" zoomScaleNormal="100" zoomScaleSheetLayoutView="85" workbookViewId="0">
      <pane xSplit="3" ySplit="5" topLeftCell="D36" activePane="bottomRight" state="frozen"/>
      <selection pane="topRight" activeCell="D1" sqref="D1"/>
      <selection pane="bottomLeft" activeCell="A2" sqref="A2"/>
      <selection pane="bottomRight" activeCell="B52" sqref="B52"/>
    </sheetView>
  </sheetViews>
  <sheetFormatPr baseColWidth="10" defaultColWidth="11.42578125" defaultRowHeight="13.5" x14ac:dyDescent="0.25"/>
  <cols>
    <col min="1" max="1" width="26.7109375" style="1" customWidth="1"/>
    <col min="2" max="3" width="14.7109375" style="1" customWidth="1"/>
    <col min="4" max="4" width="43.7109375" style="1" customWidth="1"/>
    <col min="5" max="5" width="26.28515625" style="1" customWidth="1"/>
    <col min="6" max="6" width="26.28515625" style="21" customWidth="1"/>
    <col min="7" max="7" width="50.7109375" style="1" customWidth="1"/>
    <col min="8" max="8" width="19.5703125" style="1" customWidth="1"/>
    <col min="9" max="9" width="36" style="1" customWidth="1"/>
    <col min="10" max="16384" width="11.42578125" style="1"/>
  </cols>
  <sheetData>
    <row r="1" spans="1:7" ht="21" customHeight="1" thickBot="1" x14ac:dyDescent="0.3">
      <c r="A1" s="16" t="s">
        <v>0</v>
      </c>
      <c r="B1" s="36" t="s">
        <v>27</v>
      </c>
      <c r="C1" s="37"/>
      <c r="D1" s="34" t="s">
        <v>1</v>
      </c>
      <c r="E1" s="35"/>
      <c r="F1" s="32" t="s">
        <v>29</v>
      </c>
      <c r="G1" s="33"/>
    </row>
    <row r="2" spans="1:7" ht="21" customHeight="1" thickBot="1" x14ac:dyDescent="0.3">
      <c r="A2" s="16" t="s">
        <v>2</v>
      </c>
      <c r="B2" s="36" t="s">
        <v>28</v>
      </c>
      <c r="C2" s="37"/>
      <c r="D2" s="34" t="s">
        <v>3</v>
      </c>
      <c r="E2" s="35"/>
      <c r="F2" s="32" t="s">
        <v>4</v>
      </c>
      <c r="G2" s="33"/>
    </row>
    <row r="3" spans="1:7" ht="21" customHeight="1" thickBot="1" x14ac:dyDescent="0.3">
      <c r="A3" s="16" t="s">
        <v>5</v>
      </c>
      <c r="B3" s="36" t="s">
        <v>31</v>
      </c>
      <c r="C3" s="37"/>
      <c r="D3" s="34" t="s">
        <v>6</v>
      </c>
      <c r="E3" s="35"/>
      <c r="F3" s="36" t="s">
        <v>38</v>
      </c>
      <c r="G3" s="37"/>
    </row>
    <row r="4" spans="1:7" ht="21" customHeight="1" thickBot="1" x14ac:dyDescent="0.3">
      <c r="A4" s="16" t="s">
        <v>7</v>
      </c>
      <c r="B4" s="36" t="s">
        <v>30</v>
      </c>
      <c r="C4" s="40"/>
      <c r="D4" s="40"/>
      <c r="E4" s="40"/>
      <c r="F4" s="40"/>
      <c r="G4" s="37"/>
    </row>
    <row r="5" spans="1:7" ht="21" customHeight="1" thickBot="1" x14ac:dyDescent="0.3">
      <c r="A5" s="2" t="s">
        <v>8</v>
      </c>
      <c r="B5" s="3" t="s">
        <v>9</v>
      </c>
      <c r="C5" s="3" t="s">
        <v>10</v>
      </c>
      <c r="D5" s="2" t="s">
        <v>15</v>
      </c>
      <c r="E5" s="2" t="s">
        <v>16</v>
      </c>
      <c r="F5" s="2" t="s">
        <v>17</v>
      </c>
      <c r="G5" s="2" t="s">
        <v>11</v>
      </c>
    </row>
    <row r="6" spans="1:7" ht="18" customHeight="1" x14ac:dyDescent="0.2">
      <c r="A6" s="4" t="s">
        <v>33</v>
      </c>
      <c r="B6" s="27">
        <v>45964</v>
      </c>
      <c r="C6" s="5">
        <v>30</v>
      </c>
      <c r="D6" s="8" t="s">
        <v>32</v>
      </c>
      <c r="E6" s="8" t="s">
        <v>34</v>
      </c>
      <c r="F6" s="23">
        <v>0.59027777777777779</v>
      </c>
      <c r="G6" s="24" t="s">
        <v>37</v>
      </c>
    </row>
    <row r="7" spans="1:7" ht="18" customHeight="1" x14ac:dyDescent="0.25">
      <c r="A7" s="6" t="s">
        <v>42</v>
      </c>
      <c r="B7" s="28"/>
      <c r="C7" s="7">
        <v>35</v>
      </c>
      <c r="D7" s="8" t="s">
        <v>41</v>
      </c>
      <c r="E7" s="8" t="s">
        <v>34</v>
      </c>
      <c r="F7" s="23">
        <v>0.61458333333333337</v>
      </c>
      <c r="G7" s="19"/>
    </row>
    <row r="8" spans="1:7" ht="18" customHeight="1" thickBot="1" x14ac:dyDescent="0.3">
      <c r="A8" s="6" t="s">
        <v>39</v>
      </c>
      <c r="B8" s="28"/>
      <c r="C8" s="7">
        <v>60</v>
      </c>
      <c r="D8" s="8" t="s">
        <v>40</v>
      </c>
      <c r="E8" s="8" t="s">
        <v>45</v>
      </c>
      <c r="F8" s="23">
        <v>0.65625</v>
      </c>
      <c r="G8" s="8" t="s">
        <v>43</v>
      </c>
    </row>
    <row r="9" spans="1:7" ht="18" customHeight="1" thickBot="1" x14ac:dyDescent="0.3">
      <c r="A9" s="11" t="s">
        <v>12</v>
      </c>
      <c r="B9" s="17" t="s">
        <v>19</v>
      </c>
      <c r="C9" s="17" t="s">
        <v>18</v>
      </c>
      <c r="D9" s="38">
        <f>SUM(C6:C8)</f>
        <v>125</v>
      </c>
      <c r="E9" s="38"/>
      <c r="F9" s="38"/>
      <c r="G9" s="39"/>
    </row>
    <row r="10" spans="1:7" ht="18" customHeight="1" x14ac:dyDescent="0.25">
      <c r="A10" s="4" t="s">
        <v>39</v>
      </c>
      <c r="B10" s="27">
        <v>45965</v>
      </c>
      <c r="C10" s="5">
        <v>30</v>
      </c>
      <c r="D10" s="8" t="s">
        <v>44</v>
      </c>
      <c r="E10" s="8" t="s">
        <v>34</v>
      </c>
      <c r="F10" s="23">
        <v>0.36458333333333331</v>
      </c>
      <c r="G10" s="19"/>
    </row>
    <row r="11" spans="1:7" ht="30" customHeight="1" x14ac:dyDescent="0.25">
      <c r="A11" s="6" t="s">
        <v>46</v>
      </c>
      <c r="B11" s="28"/>
      <c r="C11" s="7">
        <v>50</v>
      </c>
      <c r="D11" s="8" t="s">
        <v>57</v>
      </c>
      <c r="E11" s="8" t="s">
        <v>34</v>
      </c>
      <c r="F11" s="23">
        <v>0.39930555555555558</v>
      </c>
      <c r="G11" s="8" t="s">
        <v>48</v>
      </c>
    </row>
    <row r="12" spans="1:7" ht="30" customHeight="1" x14ac:dyDescent="0.25">
      <c r="A12" s="6" t="s">
        <v>47</v>
      </c>
      <c r="B12" s="28"/>
      <c r="C12" s="7">
        <v>25</v>
      </c>
      <c r="D12" s="8" t="s">
        <v>51</v>
      </c>
      <c r="E12" s="8" t="s">
        <v>34</v>
      </c>
      <c r="F12" s="23">
        <v>0.42708333333333331</v>
      </c>
      <c r="G12" s="8" t="s">
        <v>49</v>
      </c>
    </row>
    <row r="13" spans="1:7" ht="18" customHeight="1" x14ac:dyDescent="0.25">
      <c r="A13" s="6" t="s">
        <v>50</v>
      </c>
      <c r="B13" s="28"/>
      <c r="C13" s="7">
        <v>35</v>
      </c>
      <c r="D13" s="8" t="s">
        <v>52</v>
      </c>
      <c r="E13" s="8" t="s">
        <v>34</v>
      </c>
      <c r="F13" s="23">
        <v>0.4513888888888889</v>
      </c>
      <c r="G13" s="19"/>
    </row>
    <row r="14" spans="1:7" ht="18" customHeight="1" thickBot="1" x14ac:dyDescent="0.3">
      <c r="A14" s="9" t="s">
        <v>53</v>
      </c>
      <c r="B14" s="31"/>
      <c r="C14" s="9">
        <v>35</v>
      </c>
      <c r="D14" s="8" t="s">
        <v>54</v>
      </c>
      <c r="E14" s="10" t="s">
        <v>45</v>
      </c>
      <c r="F14" s="23">
        <v>0.47569444444444442</v>
      </c>
      <c r="G14" s="8" t="s">
        <v>43</v>
      </c>
    </row>
    <row r="15" spans="1:7" ht="18" customHeight="1" thickBot="1" x14ac:dyDescent="0.3">
      <c r="A15" s="11" t="s">
        <v>12</v>
      </c>
      <c r="B15" s="17" t="s">
        <v>20</v>
      </c>
      <c r="C15" s="17" t="s">
        <v>18</v>
      </c>
      <c r="D15" s="38">
        <f>SUM(C10:C14)</f>
        <v>175</v>
      </c>
      <c r="E15" s="38"/>
      <c r="F15" s="38"/>
      <c r="G15" s="39"/>
    </row>
    <row r="16" spans="1:7" ht="18" customHeight="1" x14ac:dyDescent="0.25">
      <c r="A16" s="4" t="s">
        <v>56</v>
      </c>
      <c r="B16" s="27">
        <v>45971</v>
      </c>
      <c r="C16" s="5">
        <v>45</v>
      </c>
      <c r="D16" s="8" t="s">
        <v>55</v>
      </c>
      <c r="E16" s="8" t="s">
        <v>34</v>
      </c>
      <c r="F16" s="23">
        <v>0.57986111111111105</v>
      </c>
      <c r="G16" s="8" t="s">
        <v>58</v>
      </c>
    </row>
    <row r="17" spans="1:7" ht="30" customHeight="1" x14ac:dyDescent="0.25">
      <c r="A17" s="6" t="s">
        <v>47</v>
      </c>
      <c r="B17" s="28"/>
      <c r="C17" s="7">
        <v>55</v>
      </c>
      <c r="D17" s="8" t="s">
        <v>59</v>
      </c>
      <c r="E17" s="8" t="s">
        <v>34</v>
      </c>
      <c r="F17" s="25">
        <v>0.63194444444444442</v>
      </c>
      <c r="G17" s="8" t="s">
        <v>60</v>
      </c>
    </row>
    <row r="18" spans="1:7" ht="30" customHeight="1" thickBot="1" x14ac:dyDescent="0.3">
      <c r="A18" s="6" t="s">
        <v>53</v>
      </c>
      <c r="B18" s="28"/>
      <c r="C18" s="7">
        <v>45</v>
      </c>
      <c r="D18" s="8" t="s">
        <v>61</v>
      </c>
      <c r="E18" s="8" t="s">
        <v>34</v>
      </c>
      <c r="F18" s="23">
        <v>0.66319444444444442</v>
      </c>
      <c r="G18" s="8" t="s">
        <v>63</v>
      </c>
    </row>
    <row r="19" spans="1:7" ht="18" customHeight="1" thickBot="1" x14ac:dyDescent="0.3">
      <c r="A19" s="11" t="s">
        <v>12</v>
      </c>
      <c r="B19" s="17" t="s">
        <v>21</v>
      </c>
      <c r="C19" s="17" t="s">
        <v>18</v>
      </c>
      <c r="D19" s="38">
        <f>SUM(C16:C18)</f>
        <v>145</v>
      </c>
      <c r="E19" s="38"/>
      <c r="F19" s="38"/>
      <c r="G19" s="39"/>
    </row>
    <row r="20" spans="1:7" ht="58.5" customHeight="1" x14ac:dyDescent="0.25">
      <c r="A20" s="4" t="s">
        <v>62</v>
      </c>
      <c r="B20" s="27">
        <v>45972</v>
      </c>
      <c r="C20" s="5"/>
      <c r="D20" s="8" t="s">
        <v>64</v>
      </c>
      <c r="E20" s="8" t="s">
        <v>34</v>
      </c>
      <c r="F20" s="23">
        <v>0.3923611111111111</v>
      </c>
      <c r="G20" s="8" t="s">
        <v>65</v>
      </c>
    </row>
    <row r="21" spans="1:7" ht="18" customHeight="1" thickBot="1" x14ac:dyDescent="0.3">
      <c r="A21" s="6" t="s">
        <v>53</v>
      </c>
      <c r="B21" s="28"/>
      <c r="C21" s="7">
        <v>105</v>
      </c>
      <c r="D21" s="8" t="s">
        <v>61</v>
      </c>
      <c r="E21" s="8" t="s">
        <v>34</v>
      </c>
      <c r="F21" s="25">
        <v>0.47569444444444442</v>
      </c>
      <c r="G21" s="8" t="s">
        <v>66</v>
      </c>
    </row>
    <row r="22" spans="1:7" ht="18" customHeight="1" thickBot="1" x14ac:dyDescent="0.3">
      <c r="A22" s="11" t="s">
        <v>12</v>
      </c>
      <c r="B22" s="17" t="s">
        <v>22</v>
      </c>
      <c r="C22" s="17" t="s">
        <v>18</v>
      </c>
      <c r="D22" s="38">
        <f>SUM(C20:C21)</f>
        <v>105</v>
      </c>
      <c r="E22" s="38"/>
      <c r="F22" s="38"/>
      <c r="G22" s="39"/>
    </row>
    <row r="23" spans="1:7" ht="30" customHeight="1" x14ac:dyDescent="0.25">
      <c r="A23" s="4" t="s">
        <v>53</v>
      </c>
      <c r="B23" s="27">
        <v>45978</v>
      </c>
      <c r="C23" s="5">
        <v>105</v>
      </c>
      <c r="D23" s="8" t="s">
        <v>61</v>
      </c>
      <c r="E23" s="8" t="s">
        <v>34</v>
      </c>
      <c r="F23" s="23">
        <v>0.63194444444444442</v>
      </c>
      <c r="G23" s="8" t="s">
        <v>67</v>
      </c>
    </row>
    <row r="24" spans="1:7" ht="30" customHeight="1" x14ac:dyDescent="0.25">
      <c r="A24" s="6" t="s">
        <v>53</v>
      </c>
      <c r="B24" s="28"/>
      <c r="C24" s="7">
        <v>10</v>
      </c>
      <c r="D24" s="8" t="s">
        <v>68</v>
      </c>
      <c r="E24" s="8" t="s">
        <v>34</v>
      </c>
      <c r="F24" s="23">
        <v>0.63888888888888895</v>
      </c>
      <c r="G24" s="19"/>
    </row>
    <row r="25" spans="1:7" ht="18" customHeight="1" thickBot="1" x14ac:dyDescent="0.3">
      <c r="A25" s="9" t="s">
        <v>53</v>
      </c>
      <c r="B25" s="28"/>
      <c r="C25" s="9">
        <v>25</v>
      </c>
      <c r="D25" s="8" t="s">
        <v>69</v>
      </c>
      <c r="E25" s="10" t="s">
        <v>34</v>
      </c>
      <c r="F25" s="23">
        <v>0.65625</v>
      </c>
      <c r="G25" s="8" t="s">
        <v>70</v>
      </c>
    </row>
    <row r="26" spans="1:7" ht="18" customHeight="1" thickBot="1" x14ac:dyDescent="0.3">
      <c r="A26" s="11" t="s">
        <v>12</v>
      </c>
      <c r="B26" s="17" t="s">
        <v>23</v>
      </c>
      <c r="C26" s="17" t="s">
        <v>18</v>
      </c>
      <c r="D26" s="38">
        <f>SUM(C23:C25)</f>
        <v>140</v>
      </c>
      <c r="E26" s="38"/>
      <c r="F26" s="38"/>
      <c r="G26" s="39"/>
    </row>
    <row r="27" spans="1:7" ht="58.5" customHeight="1" x14ac:dyDescent="0.25">
      <c r="A27" s="6" t="s">
        <v>53</v>
      </c>
      <c r="B27" s="27">
        <v>45979</v>
      </c>
      <c r="C27" s="5">
        <v>100</v>
      </c>
      <c r="D27" s="8" t="s">
        <v>71</v>
      </c>
      <c r="E27" s="8" t="s">
        <v>34</v>
      </c>
      <c r="F27" s="23">
        <v>0.4375</v>
      </c>
      <c r="G27" s="8" t="s">
        <v>73</v>
      </c>
    </row>
    <row r="28" spans="1:7" ht="30" customHeight="1" x14ac:dyDescent="0.25">
      <c r="A28" s="6" t="s">
        <v>53</v>
      </c>
      <c r="B28" s="28"/>
      <c r="C28" s="7">
        <v>45</v>
      </c>
      <c r="D28" s="8" t="s">
        <v>72</v>
      </c>
      <c r="E28" s="8" t="s">
        <v>34</v>
      </c>
      <c r="F28" s="23">
        <v>0.46875</v>
      </c>
      <c r="G28" s="8" t="s">
        <v>74</v>
      </c>
    </row>
    <row r="29" spans="1:7" ht="30" customHeight="1" thickBot="1" x14ac:dyDescent="0.3">
      <c r="A29" s="6" t="s">
        <v>53</v>
      </c>
      <c r="B29" s="28"/>
      <c r="C29" s="7">
        <v>10</v>
      </c>
      <c r="D29" s="8" t="s">
        <v>75</v>
      </c>
      <c r="E29" s="8" t="s">
        <v>34</v>
      </c>
      <c r="F29" s="23">
        <v>0.47569444444444442</v>
      </c>
      <c r="G29" s="19"/>
    </row>
    <row r="30" spans="1:7" ht="18" customHeight="1" thickBot="1" x14ac:dyDescent="0.3">
      <c r="A30" s="11" t="s">
        <v>12</v>
      </c>
      <c r="B30" s="17" t="s">
        <v>24</v>
      </c>
      <c r="C30" s="17" t="s">
        <v>18</v>
      </c>
      <c r="D30" s="38">
        <f>SUM(C27:C29)</f>
        <v>155</v>
      </c>
      <c r="E30" s="38"/>
      <c r="F30" s="38"/>
      <c r="G30" s="39"/>
    </row>
    <row r="31" spans="1:7" ht="18" customHeight="1" x14ac:dyDescent="0.25">
      <c r="A31" s="4" t="s">
        <v>53</v>
      </c>
      <c r="B31" s="27">
        <v>45985</v>
      </c>
      <c r="C31" s="5">
        <v>10</v>
      </c>
      <c r="D31" s="8" t="s">
        <v>76</v>
      </c>
      <c r="E31" s="8" t="s">
        <v>34</v>
      </c>
      <c r="F31" s="23">
        <v>0.55555555555555558</v>
      </c>
      <c r="G31" s="19"/>
    </row>
    <row r="32" spans="1:7" ht="30" customHeight="1" x14ac:dyDescent="0.25">
      <c r="A32" s="6" t="s">
        <v>53</v>
      </c>
      <c r="B32" s="28"/>
      <c r="C32" s="7">
        <v>20</v>
      </c>
      <c r="D32" s="8" t="s">
        <v>77</v>
      </c>
      <c r="E32" s="8" t="s">
        <v>34</v>
      </c>
      <c r="F32" s="23">
        <v>0.56944444444444442</v>
      </c>
      <c r="G32" s="8" t="s">
        <v>78</v>
      </c>
    </row>
    <row r="33" spans="1:7" ht="18" customHeight="1" x14ac:dyDescent="0.25">
      <c r="A33" s="6" t="s">
        <v>53</v>
      </c>
      <c r="B33" s="28"/>
      <c r="C33" s="7">
        <v>30</v>
      </c>
      <c r="D33" s="8" t="s">
        <v>79</v>
      </c>
      <c r="E33" s="8" t="s">
        <v>34</v>
      </c>
      <c r="F33" s="23">
        <v>0.59027777777777779</v>
      </c>
      <c r="G33" s="19"/>
    </row>
    <row r="34" spans="1:7" ht="30" customHeight="1" x14ac:dyDescent="0.25">
      <c r="A34" s="6" t="s">
        <v>53</v>
      </c>
      <c r="B34" s="28"/>
      <c r="C34" s="7">
        <v>15</v>
      </c>
      <c r="D34" s="8" t="s">
        <v>82</v>
      </c>
      <c r="E34" s="8" t="s">
        <v>34</v>
      </c>
      <c r="F34" s="23">
        <v>0.60069444444444442</v>
      </c>
      <c r="G34" s="19"/>
    </row>
    <row r="35" spans="1:7" ht="30" customHeight="1" x14ac:dyDescent="0.25">
      <c r="A35" s="6" t="s">
        <v>53</v>
      </c>
      <c r="B35" s="28"/>
      <c r="C35" s="7">
        <v>10</v>
      </c>
      <c r="D35" s="8" t="s">
        <v>81</v>
      </c>
      <c r="E35" s="8" t="s">
        <v>34</v>
      </c>
      <c r="F35" s="23">
        <v>0.60763888888888895</v>
      </c>
      <c r="G35" s="19"/>
    </row>
    <row r="36" spans="1:7" ht="29.25" customHeight="1" x14ac:dyDescent="0.25">
      <c r="A36" s="6" t="s">
        <v>53</v>
      </c>
      <c r="B36" s="28"/>
      <c r="C36" s="7">
        <v>10</v>
      </c>
      <c r="D36" s="8" t="s">
        <v>80</v>
      </c>
      <c r="E36" s="8" t="s">
        <v>34</v>
      </c>
      <c r="F36" s="23">
        <v>0.61458333333333337</v>
      </c>
      <c r="G36" s="19"/>
    </row>
    <row r="37" spans="1:7" ht="30" customHeight="1" x14ac:dyDescent="0.25">
      <c r="A37" s="6" t="s">
        <v>53</v>
      </c>
      <c r="B37" s="28"/>
      <c r="C37" s="7">
        <v>30</v>
      </c>
      <c r="D37" s="8" t="s">
        <v>86</v>
      </c>
      <c r="E37" s="8" t="s">
        <v>34</v>
      </c>
      <c r="F37" s="23">
        <v>0.64583333333333337</v>
      </c>
      <c r="G37" s="19"/>
    </row>
    <row r="38" spans="1:7" ht="18" customHeight="1" x14ac:dyDescent="0.25">
      <c r="A38" s="6" t="s">
        <v>47</v>
      </c>
      <c r="B38" s="28"/>
      <c r="C38" s="7">
        <v>5</v>
      </c>
      <c r="D38" s="8" t="s">
        <v>87</v>
      </c>
      <c r="E38" s="8" t="s">
        <v>34</v>
      </c>
      <c r="F38" s="23">
        <v>0.64930555555555558</v>
      </c>
      <c r="G38" s="19"/>
    </row>
    <row r="39" spans="1:7" ht="18" customHeight="1" thickBot="1" x14ac:dyDescent="0.3">
      <c r="A39" s="6" t="s">
        <v>50</v>
      </c>
      <c r="B39" s="28"/>
      <c r="C39" s="7">
        <v>10</v>
      </c>
      <c r="D39" s="8" t="s">
        <v>88</v>
      </c>
      <c r="E39" s="8" t="s">
        <v>45</v>
      </c>
      <c r="F39" s="23">
        <v>0.65625</v>
      </c>
      <c r="G39" s="8" t="s">
        <v>89</v>
      </c>
    </row>
    <row r="40" spans="1:7" ht="18" customHeight="1" thickBot="1" x14ac:dyDescent="0.3">
      <c r="A40" s="11" t="s">
        <v>12</v>
      </c>
      <c r="B40" s="17" t="s">
        <v>25</v>
      </c>
      <c r="C40" s="17" t="s">
        <v>18</v>
      </c>
      <c r="D40" s="38">
        <f>SUM(C31:C39)</f>
        <v>140</v>
      </c>
      <c r="E40" s="38"/>
      <c r="F40" s="38"/>
      <c r="G40" s="39"/>
    </row>
    <row r="41" spans="1:7" ht="18" customHeight="1" x14ac:dyDescent="0.25">
      <c r="A41" s="4" t="s">
        <v>50</v>
      </c>
      <c r="B41" s="27">
        <v>45986</v>
      </c>
      <c r="C41" s="5">
        <v>15</v>
      </c>
      <c r="D41" s="8" t="s">
        <v>90</v>
      </c>
      <c r="E41" s="8" t="s">
        <v>34</v>
      </c>
      <c r="F41" s="23">
        <v>0.34375</v>
      </c>
      <c r="G41" s="19"/>
    </row>
    <row r="42" spans="1:7" ht="48" customHeight="1" thickBot="1" x14ac:dyDescent="0.3">
      <c r="A42" s="6" t="s">
        <v>53</v>
      </c>
      <c r="B42" s="28"/>
      <c r="C42" s="7">
        <v>175</v>
      </c>
      <c r="D42" s="8" t="s">
        <v>91</v>
      </c>
      <c r="E42" s="8" t="s">
        <v>45</v>
      </c>
      <c r="F42" s="25">
        <v>0.47569444444444442</v>
      </c>
      <c r="G42" s="8" t="s">
        <v>92</v>
      </c>
    </row>
    <row r="43" spans="1:7" ht="18" customHeight="1" thickBot="1" x14ac:dyDescent="0.3">
      <c r="A43" s="11" t="s">
        <v>12</v>
      </c>
      <c r="B43" s="17" t="s">
        <v>26</v>
      </c>
      <c r="C43" s="17" t="s">
        <v>18</v>
      </c>
      <c r="D43" s="38">
        <f>SUM(C41:C42)</f>
        <v>190</v>
      </c>
      <c r="E43" s="38"/>
      <c r="F43" s="38"/>
      <c r="G43" s="39"/>
    </row>
    <row r="44" spans="1:7" ht="48.75" customHeight="1" thickBot="1" x14ac:dyDescent="0.3">
      <c r="A44" s="4" t="s">
        <v>53</v>
      </c>
      <c r="B44" s="26">
        <v>45992</v>
      </c>
      <c r="C44" s="5">
        <v>140</v>
      </c>
      <c r="D44" s="8" t="s">
        <v>93</v>
      </c>
      <c r="E44" s="8" t="s">
        <v>45</v>
      </c>
      <c r="F44" s="23">
        <v>0.65625</v>
      </c>
      <c r="G44" s="8" t="s">
        <v>94</v>
      </c>
    </row>
    <row r="45" spans="1:7" ht="18" customHeight="1" thickBot="1" x14ac:dyDescent="0.3">
      <c r="A45" s="11" t="s">
        <v>12</v>
      </c>
      <c r="B45" s="17" t="s">
        <v>83</v>
      </c>
      <c r="C45" s="17" t="s">
        <v>18</v>
      </c>
      <c r="D45" s="38">
        <f>SUM(C44:C44)</f>
        <v>140</v>
      </c>
      <c r="E45" s="38"/>
      <c r="F45" s="38"/>
      <c r="G45" s="39"/>
    </row>
    <row r="46" spans="1:7" ht="18" customHeight="1" x14ac:dyDescent="0.25">
      <c r="A46" s="4" t="s">
        <v>53</v>
      </c>
      <c r="B46" s="27">
        <v>45993</v>
      </c>
      <c r="C46" s="5">
        <v>45</v>
      </c>
      <c r="D46" s="8" t="s">
        <v>93</v>
      </c>
      <c r="E46" s="8" t="s">
        <v>34</v>
      </c>
      <c r="F46" s="23">
        <v>0.36458333333333331</v>
      </c>
      <c r="G46" s="19"/>
    </row>
    <row r="47" spans="1:7" ht="30" customHeight="1" x14ac:dyDescent="0.25">
      <c r="A47" s="6" t="s">
        <v>96</v>
      </c>
      <c r="B47" s="28"/>
      <c r="C47" s="7">
        <v>75</v>
      </c>
      <c r="D47" s="8" t="s">
        <v>95</v>
      </c>
      <c r="E47" s="8" t="s">
        <v>34</v>
      </c>
      <c r="F47" s="23">
        <v>0.42708333333333331</v>
      </c>
      <c r="G47" s="19"/>
    </row>
    <row r="48" spans="1:7" ht="48" customHeight="1" x14ac:dyDescent="0.25">
      <c r="A48" s="6" t="s">
        <v>53</v>
      </c>
      <c r="B48" s="28"/>
      <c r="C48" s="7">
        <v>15</v>
      </c>
      <c r="D48" s="8" t="s">
        <v>97</v>
      </c>
      <c r="E48" s="8" t="s">
        <v>34</v>
      </c>
      <c r="F48" s="23">
        <v>0.4375</v>
      </c>
      <c r="G48" s="19"/>
    </row>
    <row r="49" spans="1:7" ht="18" customHeight="1" x14ac:dyDescent="0.25">
      <c r="A49" s="6" t="s">
        <v>53</v>
      </c>
      <c r="B49" s="28"/>
      <c r="C49" s="7">
        <v>10</v>
      </c>
      <c r="D49" s="8" t="s">
        <v>98</v>
      </c>
      <c r="E49" s="8" t="s">
        <v>34</v>
      </c>
      <c r="F49" s="23">
        <v>0.44444444444444442</v>
      </c>
      <c r="G49" s="19"/>
    </row>
    <row r="50" spans="1:7" ht="30" customHeight="1" thickBot="1" x14ac:dyDescent="0.3">
      <c r="A50" s="6" t="s">
        <v>53</v>
      </c>
      <c r="B50" s="28"/>
      <c r="C50" s="7">
        <v>10</v>
      </c>
      <c r="D50" s="8" t="s">
        <v>99</v>
      </c>
      <c r="E50" s="8" t="s">
        <v>34</v>
      </c>
      <c r="F50" s="23">
        <v>0.4513888888888889</v>
      </c>
      <c r="G50" s="19"/>
    </row>
    <row r="51" spans="1:7" ht="18" customHeight="1" thickBot="1" x14ac:dyDescent="0.3">
      <c r="A51" s="6" t="s">
        <v>33</v>
      </c>
      <c r="B51" s="28"/>
      <c r="C51" s="7">
        <v>35</v>
      </c>
      <c r="D51" s="8" t="s">
        <v>100</v>
      </c>
      <c r="E51" s="8" t="s">
        <v>34</v>
      </c>
      <c r="F51" s="23">
        <v>0.47569444444444442</v>
      </c>
      <c r="G51" s="19"/>
    </row>
    <row r="52" spans="1:7" ht="18" customHeight="1" thickBot="1" x14ac:dyDescent="0.3">
      <c r="A52" s="11" t="s">
        <v>12</v>
      </c>
      <c r="B52" s="17" t="s">
        <v>84</v>
      </c>
      <c r="C52" s="17" t="s">
        <v>18</v>
      </c>
      <c r="D52" s="38">
        <f>SUM(C46:C51)</f>
        <v>190</v>
      </c>
      <c r="E52" s="38"/>
      <c r="F52" s="38"/>
      <c r="G52" s="39"/>
    </row>
    <row r="53" spans="1:7" ht="18" customHeight="1" x14ac:dyDescent="0.25">
      <c r="A53" s="4"/>
      <c r="B53" s="27"/>
      <c r="C53" s="5"/>
      <c r="D53" s="8"/>
      <c r="E53" s="8"/>
      <c r="F53" s="22"/>
      <c r="G53" s="19"/>
    </row>
    <row r="54" spans="1:7" ht="18" customHeight="1" x14ac:dyDescent="0.25">
      <c r="A54" s="6"/>
      <c r="B54" s="28"/>
      <c r="C54" s="7"/>
      <c r="D54" s="8"/>
      <c r="E54" s="8"/>
      <c r="F54" s="22"/>
      <c r="G54" s="19"/>
    </row>
    <row r="55" spans="1:7" ht="18" customHeight="1" x14ac:dyDescent="0.25">
      <c r="A55" s="6"/>
      <c r="B55" s="28"/>
      <c r="C55" s="7"/>
      <c r="D55" s="8"/>
      <c r="E55" s="8"/>
      <c r="F55" s="7"/>
      <c r="G55" s="19"/>
    </row>
    <row r="56" spans="1:7" ht="18" customHeight="1" x14ac:dyDescent="0.25">
      <c r="A56" s="6"/>
      <c r="B56" s="28"/>
      <c r="C56" s="7"/>
      <c r="D56" s="8"/>
      <c r="E56" s="8"/>
      <c r="F56" s="7"/>
      <c r="G56" s="19"/>
    </row>
    <row r="57" spans="1:7" ht="18" customHeight="1" thickBot="1" x14ac:dyDescent="0.3">
      <c r="A57" s="9"/>
      <c r="B57" s="31"/>
      <c r="C57" s="9"/>
      <c r="D57" s="8"/>
      <c r="E57" s="10"/>
      <c r="F57" s="7"/>
      <c r="G57" s="19"/>
    </row>
    <row r="58" spans="1:7" ht="18" customHeight="1" thickBot="1" x14ac:dyDescent="0.3">
      <c r="A58" s="11" t="s">
        <v>12</v>
      </c>
      <c r="B58" s="17" t="s">
        <v>85</v>
      </c>
      <c r="C58" s="17" t="s">
        <v>18</v>
      </c>
      <c r="D58" s="38">
        <f>SUM(C53:C57)</f>
        <v>0</v>
      </c>
      <c r="E58" s="38"/>
      <c r="F58" s="38"/>
      <c r="G58" s="39"/>
    </row>
    <row r="59" spans="1:7" ht="21" customHeight="1" thickBot="1" x14ac:dyDescent="0.3">
      <c r="A59" s="29" t="s">
        <v>13</v>
      </c>
      <c r="B59" s="30"/>
      <c r="C59" s="12">
        <f>MROUND(SUM(C6:C58) /60,0.2)</f>
        <v>25</v>
      </c>
      <c r="D59" s="13"/>
      <c r="E59" s="18"/>
      <c r="F59" s="20"/>
      <c r="G59" s="14"/>
    </row>
    <row r="60" spans="1:7" x14ac:dyDescent="0.25">
      <c r="A60" s="15" t="s">
        <v>14</v>
      </c>
    </row>
    <row r="61" spans="1:7" x14ac:dyDescent="0.25">
      <c r="A61" s="15"/>
    </row>
  </sheetData>
  <mergeCells count="32">
    <mergeCell ref="D22:G22"/>
    <mergeCell ref="D26:G26"/>
    <mergeCell ref="D30:G30"/>
    <mergeCell ref="D40:G40"/>
    <mergeCell ref="D58:G58"/>
    <mergeCell ref="D52:G52"/>
    <mergeCell ref="D43:G43"/>
    <mergeCell ref="D45:G45"/>
    <mergeCell ref="D9:G9"/>
    <mergeCell ref="D15:G15"/>
    <mergeCell ref="D19:G19"/>
    <mergeCell ref="B4:G4"/>
    <mergeCell ref="B6:B8"/>
    <mergeCell ref="B10:B14"/>
    <mergeCell ref="B16:B18"/>
    <mergeCell ref="F1:G1"/>
    <mergeCell ref="D1:E1"/>
    <mergeCell ref="D2:E2"/>
    <mergeCell ref="D3:E3"/>
    <mergeCell ref="B1:C1"/>
    <mergeCell ref="B2:C2"/>
    <mergeCell ref="B3:C3"/>
    <mergeCell ref="F2:G2"/>
    <mergeCell ref="F3:G3"/>
    <mergeCell ref="B20:B21"/>
    <mergeCell ref="B23:B25"/>
    <mergeCell ref="B27:B29"/>
    <mergeCell ref="A59:B59"/>
    <mergeCell ref="B31:B39"/>
    <mergeCell ref="B53:B57"/>
    <mergeCell ref="B46:B51"/>
    <mergeCell ref="B41:B42"/>
  </mergeCells>
  <dataValidations count="2">
    <dataValidation type="whole" operator="greaterThan" allowBlank="1" showInputMessage="1" showErrorMessage="1" errorTitle="Durée par tranche de 10min" error="Le nombre doit être de type entier" sqref="C53:C57 C27:C29 C23:C25 C16:C18 B6 C10:C14 C20:C21 C6:C8 C31:C39 C41:C42 C44 C46:C51" xr:uid="{345ABA8F-B69F-4AFC-9D0E-D2AB0ACDE277}">
      <formula1>0</formula1>
    </dataValidation>
    <dataValidation type="date" operator="greaterThan" allowBlank="1" showInputMessage="1" showErrorMessage="1" errorTitle="Durée par tranche de 10min" error="Le nombre doit être de type entier" sqref="B10:B14 B16:B18 B20:B21 B53:B57 B27:B29 B23:B25 B31:B39 B41:B42 B44 B46:B51" xr:uid="{7694F886-C01B-440C-B6C8-5FF698F43C26}">
      <formula1>45261</formula1>
    </dataValidation>
  </dataValidations>
  <hyperlinks>
    <hyperlink ref="G6" r:id="rId1" xr:uid="{48F1459F-A9D8-4CFC-BB03-37B9BE21D6DE}"/>
  </hyperlinks>
  <printOptions horizontalCentered="1"/>
  <pageMargins left="0.51181102362204722" right="0.51181102362204722" top="0.74803149606299213" bottom="0.74803149606299213" header="0.31496062992125984" footer="0.31496062992125984"/>
  <pageSetup paperSize="9" scale="46" orientation="portrait" r:id="rId2"/>
  <headerFooter>
    <oddHeader>&amp;L&amp;"Etml_font,Normal"&amp;22ETML&amp;R&amp;G</oddHeader>
    <oddFooter>&amp;L&amp;14&amp;D&amp;R&amp;14Journal</oddFooter>
  </headerFooter>
  <legacyDrawingHF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42" operator="equal" id="{6BC2577B-BDA3-4B48-8F95-0F2177F9264F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A4:E8 A10:E14 A16:E18 A20:E21 A23:E25 A27:E29 A31:E39 A53:E57 A59:E1048576 A44:E44 A41:E42 A1:D2 F1:F3 A3 D3 G4:G5 G7:G8 A9:D9 A15:D15 A19:D19 A22:D22 A26:D26 A30:D30 A40:D40 A43:D43 A45:D45 A52:D52 A58:D58 G59:G1048576 A46:E51</xm:sqref>
        </x14:conditionalFormatting>
        <x14:conditionalFormatting xmlns:xm="http://schemas.microsoft.com/office/excel/2006/main">
          <x14:cfRule type="cellIs" priority="41" operator="equal" id="{9C6C644F-7238-453A-BC69-B42FAB3A2FA5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43" operator="equal" id="{6DE85145-1CAE-407F-B647-4C9B303613C7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44" operator="equal" id="{29EA468D-F98D-4D41-AA55-B63DA0941363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E4:E8 E10:E14 E16:E18 E20:E21 E23:E25 E27:E29 E31:E39 E53:E57 E59:E1048576</xm:sqref>
        </x14:conditionalFormatting>
        <x14:conditionalFormatting xmlns:xm="http://schemas.microsoft.com/office/excel/2006/main">
          <x14:cfRule type="cellIs" priority="10" operator="equal" id="{84E995EC-6FB3-447D-B7B4-F39F6B4AAF45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11" operator="equal" id="{B6903E1B-29F5-497F-B030-3589B8B337A1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12" operator="equal" id="{DA16BC0E-098E-492D-9DD4-7AE32F5A0B66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E41:E42</xm:sqref>
        </x14:conditionalFormatting>
        <x14:conditionalFormatting xmlns:xm="http://schemas.microsoft.com/office/excel/2006/main">
          <x14:cfRule type="cellIs" priority="14" operator="equal" id="{2763426F-5E05-4AE5-BAB9-6155B44E42F3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15" operator="equal" id="{29283CD5-B4A3-4A92-85FA-0825B9BB0F20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16" operator="equal" id="{FFFCA022-7518-426F-AC53-14AA2D86A5EB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E44</xm:sqref>
        </x14:conditionalFormatting>
        <x14:conditionalFormatting xmlns:xm="http://schemas.microsoft.com/office/excel/2006/main">
          <x14:cfRule type="cellIs" priority="18" operator="equal" id="{1078C977-9C97-4C62-9B51-0ACFCEFF16B7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19" operator="equal" id="{C8F44381-9E3F-41A8-B780-789FB71729B2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20" operator="equal" id="{8B954690-3338-4C9D-94AB-D077188DE2BD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E46:E49</xm:sqref>
        </x14:conditionalFormatting>
        <x14:conditionalFormatting xmlns:xm="http://schemas.microsoft.com/office/excel/2006/main">
          <x14:cfRule type="containsText" priority="38" operator="containsText" id="{FD0F452B-B2F8-4F75-A8CD-A69AC0834E64}">
            <xm:f>NOT(ISERROR(SEARCH(Restrictions!$B$1,F6)))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F6:F8</xm:sqref>
        </x14:conditionalFormatting>
        <x14:conditionalFormatting xmlns:xm="http://schemas.microsoft.com/office/excel/2006/main">
          <x14:cfRule type="containsText" priority="36" operator="containsText" id="{6407061A-B268-44CE-A52C-133739941B16}">
            <xm:f>NOT(ISERROR(SEARCH(Restrictions!$B$1,F16)))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F16:F18</xm:sqref>
        </x14:conditionalFormatting>
        <x14:conditionalFormatting xmlns:xm="http://schemas.microsoft.com/office/excel/2006/main">
          <x14:cfRule type="containsText" priority="35" operator="containsText" id="{756A584A-6AAC-4559-9F27-A59B4EFD7F34}">
            <xm:f>NOT(ISERROR(SEARCH(Restrictions!$B$1,F20)))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F20:F21</xm:sqref>
        </x14:conditionalFormatting>
        <x14:conditionalFormatting xmlns:xm="http://schemas.microsoft.com/office/excel/2006/main">
          <x14:cfRule type="containsText" priority="34" operator="containsText" id="{E988FD75-2909-4816-91C7-1018002A435D}">
            <xm:f>NOT(ISERROR(SEARCH(Restrictions!$B$1,F23)))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F23 F24:G24 F25</xm:sqref>
        </x14:conditionalFormatting>
        <x14:conditionalFormatting xmlns:xm="http://schemas.microsoft.com/office/excel/2006/main">
          <x14:cfRule type="containsText" priority="33" operator="containsText" id="{D5B6D5DF-9E2A-4C4B-BA82-97D983766AEE}">
            <xm:f>NOT(ISERROR(SEARCH(Restrictions!$B$1,F27)))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F27:F28 F29:G29</xm:sqref>
        </x14:conditionalFormatting>
        <x14:conditionalFormatting xmlns:xm="http://schemas.microsoft.com/office/excel/2006/main">
          <x14:cfRule type="containsText" priority="13" operator="containsText" id="{58D84678-3AF3-4F30-A017-BCF30ADC23B9}">
            <xm:f>NOT(ISERROR(SEARCH(Restrictions!$B$1,F44)))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F44</xm:sqref>
        </x14:conditionalFormatting>
        <x14:conditionalFormatting xmlns:xm="http://schemas.microsoft.com/office/excel/2006/main">
          <x14:cfRule type="containsText" priority="37" operator="containsText" id="{88417B48-EA26-4D48-9EFE-B6A1E5C426AE}">
            <xm:f>NOT(ISERROR(SEARCH(Restrictions!$B$1,F10)))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F10:G10 F11:F12 F13:G13 F14</xm:sqref>
        </x14:conditionalFormatting>
        <x14:conditionalFormatting xmlns:xm="http://schemas.microsoft.com/office/excel/2006/main">
          <x14:cfRule type="containsText" priority="32" operator="containsText" id="{1555D56B-E8B5-4F0A-9D80-B2C1016EB105}">
            <xm:f>NOT(ISERROR(SEARCH(Restrictions!$B$1,F31)))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F31:G31 F32</xm:sqref>
        </x14:conditionalFormatting>
        <x14:conditionalFormatting xmlns:xm="http://schemas.microsoft.com/office/excel/2006/main">
          <x14:cfRule type="containsText" priority="21" operator="containsText" id="{F174B00B-9E6F-49FA-9EE7-95FA16CF0425}">
            <xm:f>NOT(ISERROR(SEARCH(Restrictions!$B$1,F33)))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F33:G38 F39</xm:sqref>
        </x14:conditionalFormatting>
        <x14:conditionalFormatting xmlns:xm="http://schemas.microsoft.com/office/excel/2006/main">
          <x14:cfRule type="containsText" priority="9" operator="containsText" id="{4AF076A7-8EED-499A-B340-9301C9A23B63}">
            <xm:f>NOT(ISERROR(SEARCH(Restrictions!$B$1,F41)))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F41:G41 F42</xm:sqref>
        </x14:conditionalFormatting>
        <x14:conditionalFormatting xmlns:xm="http://schemas.microsoft.com/office/excel/2006/main">
          <x14:cfRule type="containsText" priority="17" operator="containsText" id="{A9768957-7C49-4EEE-AEFF-F52C90BA7D29}">
            <xm:f>NOT(ISERROR(SEARCH(Restrictions!$B$1,G46)))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G46:G49</xm:sqref>
        </x14:conditionalFormatting>
        <x14:conditionalFormatting xmlns:xm="http://schemas.microsoft.com/office/excel/2006/main">
          <x14:cfRule type="containsText" priority="31" operator="containsText" id="{2F0F41F7-8C93-48A6-B013-C45F8E29AE34}">
            <xm:f>NOT(ISERROR(SEARCH(Restrictions!$B$1,F53)))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F53:G57</xm:sqref>
        </x14:conditionalFormatting>
        <x14:conditionalFormatting xmlns:xm="http://schemas.microsoft.com/office/excel/2006/main">
          <x14:cfRule type="cellIs" priority="30" operator="equal" id="{C81CB296-EBDE-4E68-996A-22E647E300C9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G11:G12</xm:sqref>
        </x14:conditionalFormatting>
        <x14:conditionalFormatting xmlns:xm="http://schemas.microsoft.com/office/excel/2006/main">
          <x14:cfRule type="cellIs" priority="29" operator="equal" id="{C6523CE4-984A-4BEA-B850-BBE212DEC1BD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G14</xm:sqref>
        </x14:conditionalFormatting>
        <x14:conditionalFormatting xmlns:xm="http://schemas.microsoft.com/office/excel/2006/main">
          <x14:cfRule type="cellIs" priority="28" operator="equal" id="{34CA0963-7227-4B81-A491-AF5EBF6948E0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G16:G18</xm:sqref>
        </x14:conditionalFormatting>
        <x14:conditionalFormatting xmlns:xm="http://schemas.microsoft.com/office/excel/2006/main">
          <x14:cfRule type="cellIs" priority="27" operator="equal" id="{0137ED0B-0223-4A2D-BBA6-66B7E7B0177B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G20:G21</xm:sqref>
        </x14:conditionalFormatting>
        <x14:conditionalFormatting xmlns:xm="http://schemas.microsoft.com/office/excel/2006/main">
          <x14:cfRule type="cellIs" priority="26" operator="equal" id="{0559BE0C-06E8-4BF0-855B-46B347A65A43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G23</xm:sqref>
        </x14:conditionalFormatting>
        <x14:conditionalFormatting xmlns:xm="http://schemas.microsoft.com/office/excel/2006/main">
          <x14:cfRule type="cellIs" priority="25" operator="equal" id="{A10A680C-18B8-4576-98EE-F30E41E55578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G25</xm:sqref>
        </x14:conditionalFormatting>
        <x14:conditionalFormatting xmlns:xm="http://schemas.microsoft.com/office/excel/2006/main">
          <x14:cfRule type="cellIs" priority="24" operator="equal" id="{EE200D4C-87A3-41C0-AADC-DBA0F1BBC7B2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G27:G28</xm:sqref>
        </x14:conditionalFormatting>
        <x14:conditionalFormatting xmlns:xm="http://schemas.microsoft.com/office/excel/2006/main">
          <x14:cfRule type="cellIs" priority="23" operator="equal" id="{11814DC1-0D86-496F-AEC1-5E73F0134CB6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G32</xm:sqref>
        </x14:conditionalFormatting>
        <x14:conditionalFormatting xmlns:xm="http://schemas.microsoft.com/office/excel/2006/main">
          <x14:cfRule type="cellIs" priority="8" operator="equal" id="{267A3B51-36A4-44DF-B2E6-F06E71682E5F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G39</xm:sqref>
        </x14:conditionalFormatting>
        <x14:conditionalFormatting xmlns:xm="http://schemas.microsoft.com/office/excel/2006/main">
          <x14:cfRule type="cellIs" priority="7" operator="equal" id="{0FA35E81-D3C4-44FE-9341-C74ABA01B1FF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G42</xm:sqref>
        </x14:conditionalFormatting>
        <x14:conditionalFormatting xmlns:xm="http://schemas.microsoft.com/office/excel/2006/main">
          <x14:cfRule type="cellIs" priority="6" operator="equal" id="{E1E75134-FA7A-4AB7-9C7B-BBBAB5BA6AE8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G44</xm:sqref>
        </x14:conditionalFormatting>
        <x14:conditionalFormatting xmlns:xm="http://schemas.microsoft.com/office/excel/2006/main">
          <x14:cfRule type="containsText" priority="5" operator="containsText" id="{670AA369-23B3-423E-BBC6-44D0B56E67BC}">
            <xm:f>NOT(ISERROR(SEARCH(Restrictions!$B$1,F46)))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F46:F49</xm:sqref>
        </x14:conditionalFormatting>
        <x14:conditionalFormatting xmlns:xm="http://schemas.microsoft.com/office/excel/2006/main">
          <x14:cfRule type="cellIs" priority="2" operator="equal" id="{55BA1703-E0F0-4534-AC5F-5524C52012B8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3" operator="equal" id="{8AA9BDE2-93E5-4C8F-8ABB-C8A37EF6C1F7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4" operator="equal" id="{7CBCFDCF-397F-4B71-B6B1-D6B8B3D995CF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E50:E51</xm:sqref>
        </x14:conditionalFormatting>
        <x14:conditionalFormatting xmlns:xm="http://schemas.microsoft.com/office/excel/2006/main">
          <x14:cfRule type="containsText" priority="1" operator="containsText" id="{1E89304F-1BDF-40FA-83E9-2770D86CCD7D}">
            <xm:f>NOT(ISERROR(SEARCH(Restrictions!$B$1,F50)))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F50:G51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E11ED1A-D9E7-4F6F-A32A-17EE6B774A99}">
          <x14:formula1>
            <xm:f>Restrictions!$A$1:$D$1</xm:f>
          </x14:formula1>
          <xm:sqref>E1:E4 E6:E8 E10:E14 E16:E18 E20:E21 E59:E1048576 E27:E29 E23:E25 E53:E57 E31:E39 E41:E42 E44 E46:E51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E85185-8505-495A-B1CC-27F1C88988D0}">
  <dimension ref="A1:D1"/>
  <sheetViews>
    <sheetView workbookViewId="0"/>
  </sheetViews>
  <sheetFormatPr baseColWidth="10" defaultRowHeight="13.5" x14ac:dyDescent="0.25"/>
  <sheetData>
    <row r="1" spans="1:4" x14ac:dyDescent="0.25">
      <c r="A1" t="s">
        <v>34</v>
      </c>
      <c r="B1" t="s">
        <v>45</v>
      </c>
      <c r="C1" t="s">
        <v>35</v>
      </c>
      <c r="D1" t="s">
        <v>36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A5B8F5EAAC22C48A11F5D9A60E6F21D" ma:contentTypeVersion="16" ma:contentTypeDescription="Crée un document." ma:contentTypeScope="" ma:versionID="f2b963976306cc54294b7f4545a3c6c4">
  <xsd:schema xmlns:xsd="http://www.w3.org/2001/XMLSchema" xmlns:xs="http://www.w3.org/2001/XMLSchema" xmlns:p="http://schemas.microsoft.com/office/2006/metadata/properties" xmlns:ns2="a1b10758-7132-46a4-a2fe-7a2cf46f51f4" xmlns:ns3="f7d9f5a6-831d-4621-8c77-cbcaf993e406" targetNamespace="http://schemas.microsoft.com/office/2006/metadata/properties" ma:root="true" ma:fieldsID="e5e135fa2fc1295e1586ddcd9c1a8904" ns2:_="" ns3:_="">
    <xsd:import namespace="a1b10758-7132-46a4-a2fe-7a2cf46f51f4"/>
    <xsd:import namespace="f7d9f5a6-831d-4621-8c77-cbcaf993e40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3:SharedWithUsers" minOccurs="0"/>
                <xsd:element ref="ns3:SharedWithDetail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b10758-7132-46a4-a2fe-7a2cf46f51f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7d9f5a6-831d-4621-8c77-cbcaf993e406" elementFormDefault="qualified">
    <xsd:import namespace="http://schemas.microsoft.com/office/2006/documentManagement/types"/>
    <xsd:import namespace="http://schemas.microsoft.com/office/infopath/2007/PartnerControls"/>
    <xsd:element name="TaxCatchAll" ma:index="20" nillable="true" ma:displayName="Taxonomy Catch All Column" ma:hidden="true" ma:list="{d5ae18fe-e647-4d3d-978d-a159861f0a34}" ma:internalName="TaxCatchAll" ma:showField="CatchAllData" ma:web="f7d9f5a6-831d-4621-8c77-cbcaf993e40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a1b10758-7132-46a4-a2fe-7a2cf46f51f4">
      <Terms xmlns="http://schemas.microsoft.com/office/infopath/2007/PartnerControls"/>
    </lcf76f155ced4ddcb4097134ff3c332f>
    <TaxCatchAll xmlns="f7d9f5a6-831d-4621-8c77-cbcaf993e406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0597E6F-FA73-4A07-893F-099FDC15B64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1b10758-7132-46a4-a2fe-7a2cf46f51f4"/>
    <ds:schemaRef ds:uri="f7d9f5a6-831d-4621-8c77-cbcaf993e40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E6F7E92-72FE-4C94-B42F-AE9EA593DE95}">
  <ds:schemaRefs>
    <ds:schemaRef ds:uri="http://schemas.microsoft.com/office/2006/metadata/properties"/>
    <ds:schemaRef ds:uri="http://schemas.microsoft.com/office/infopath/2007/PartnerControls"/>
    <ds:schemaRef ds:uri="a1b10758-7132-46a4-a2fe-7a2cf46f51f4"/>
    <ds:schemaRef ds:uri="f7d9f5a6-831d-4621-8c77-cbcaf993e406"/>
  </ds:schemaRefs>
</ds:datastoreItem>
</file>

<file path=customXml/itemProps3.xml><?xml version="1.0" encoding="utf-8"?>
<ds:datastoreItem xmlns:ds="http://schemas.openxmlformats.org/officeDocument/2006/customXml" ds:itemID="{38BCAAC0-9C03-42D2-8685-2E30F60CCBA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1</vt:i4>
      </vt:variant>
    </vt:vector>
  </HeadingPairs>
  <TitlesOfParts>
    <vt:vector size="3" baseType="lpstr">
      <vt:lpstr>Journal</vt:lpstr>
      <vt:lpstr>Restrictions</vt:lpstr>
      <vt:lpstr>Journal!Zone_d_impression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T_CraftMeUp_NeoDarbellay</dc:title>
  <dc:subject>Journal de travail</dc:subject>
  <dc:creator>Néo Darbellay</dc:creator>
  <cp:keywords/>
  <dc:description/>
  <cp:lastModifiedBy>Néo Darbellay</cp:lastModifiedBy>
  <cp:revision/>
  <dcterms:created xsi:type="dcterms:W3CDTF">1996-10-21T11:03:58Z</dcterms:created>
  <dcterms:modified xsi:type="dcterms:W3CDTF">2025-12-02T10:10:41Z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0x0101005A5B8F5EAAC22C48A11F5D9A60E6F21D</vt:lpwstr>
  </property>
</Properties>
</file>